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093f\Documents\New Hire Information\Materials\"/>
    </mc:Choice>
  </mc:AlternateContent>
  <xr:revisionPtr revIDLastSave="0" documentId="13_ncr:1_{C674F0D1-1514-4F1E-B75F-E60524DD8E88}" xr6:coauthVersionLast="47" xr6:coauthVersionMax="47" xr10:uidLastSave="{00000000-0000-0000-0000-000000000000}"/>
  <bookViews>
    <workbookView xWindow="-23550" yWindow="1365" windowWidth="21735" windowHeight="12885" activeTab="2" xr2:uid="{AEF1BAB2-12A1-4222-A164-17DEE00C7524}"/>
  </bookViews>
  <sheets>
    <sheet name="Data" sheetId="1" r:id="rId1"/>
    <sheet name="Data Raw" sheetId="4" r:id="rId2"/>
    <sheet name="Sheet2" sheetId="2" r:id="rId3"/>
    <sheet name="Efficiency Engineer" sheetId="6" r:id="rId4"/>
    <sheet name="Compositions" sheetId="3" r:id="rId5"/>
    <sheet name="Top 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D5" i="3"/>
  <c r="D6" i="3"/>
  <c r="C6" i="3" s="1"/>
  <c r="G25" i="2"/>
  <c r="H25" i="2"/>
  <c r="G23" i="2"/>
  <c r="H23" i="2"/>
  <c r="G24" i="2"/>
  <c r="H24" i="2"/>
  <c r="C2" i="3"/>
  <c r="D8" i="3"/>
  <c r="C8" i="3" s="1"/>
  <c r="D9" i="3"/>
  <c r="C9" i="3" s="1"/>
  <c r="D10" i="3"/>
  <c r="D11" i="3"/>
  <c r="D12" i="3"/>
  <c r="D13" i="3"/>
  <c r="D14" i="3"/>
  <c r="D16" i="3"/>
  <c r="D17" i="3"/>
  <c r="C17" i="3" s="1"/>
  <c r="D18" i="3"/>
  <c r="C18" i="3" s="1"/>
  <c r="D19" i="3"/>
  <c r="C19" i="3" s="1"/>
  <c r="D20" i="3"/>
  <c r="C20" i="3" s="1"/>
  <c r="D21" i="3"/>
  <c r="C21" i="3" s="1"/>
  <c r="D22" i="3"/>
  <c r="C22" i="3" s="1"/>
  <c r="C10" i="3"/>
  <c r="C11" i="3"/>
  <c r="C12" i="3"/>
  <c r="C13" i="3"/>
  <c r="C14" i="3"/>
  <c r="C16" i="3"/>
  <c r="C3" i="3"/>
  <c r="C4" i="3"/>
  <c r="C5" i="3"/>
  <c r="G15" i="2"/>
  <c r="H15" i="2"/>
  <c r="G16" i="2"/>
  <c r="H16" i="2"/>
  <c r="G11" i="2"/>
  <c r="H11" i="2"/>
  <c r="G18" i="2"/>
  <c r="H18" i="2"/>
  <c r="G20" i="2"/>
  <c r="H20" i="2"/>
  <c r="G21" i="2"/>
  <c r="H21" i="2"/>
  <c r="G22" i="2"/>
  <c r="H22" i="2"/>
  <c r="G19" i="2"/>
  <c r="H19" i="2"/>
  <c r="G14" i="2"/>
  <c r="H14" i="2"/>
  <c r="G3" i="2"/>
  <c r="H3" i="2"/>
  <c r="G4" i="2"/>
  <c r="H4" i="2"/>
  <c r="G5" i="2"/>
  <c r="H5" i="2"/>
  <c r="G7" i="2"/>
  <c r="H7" i="2"/>
  <c r="G8" i="2"/>
  <c r="H8" i="2"/>
  <c r="G9" i="2"/>
  <c r="H9" i="2"/>
  <c r="G12" i="2"/>
  <c r="H12" i="2"/>
  <c r="G13" i="2"/>
  <c r="H13" i="2"/>
  <c r="G17" i="2"/>
  <c r="H17" i="2"/>
</calcChain>
</file>

<file path=xl/sharedStrings.xml><?xml version="1.0" encoding="utf-8"?>
<sst xmlns="http://schemas.openxmlformats.org/spreadsheetml/2006/main" count="858" uniqueCount="347">
  <si>
    <t>Ceramic</t>
  </si>
  <si>
    <t>Silicon Carbide (SiC)</t>
  </si>
  <si>
    <t>Alumina (Aluminum Oxide, Al₂O₃)</t>
  </si>
  <si>
    <t>Zirconia (Zirconium Dioxide, ZrO₂)</t>
  </si>
  <si>
    <t>Density (g/cm³)</t>
  </si>
  <si>
    <t>Hardness (Mohs)</t>
  </si>
  <si>
    <t xml:space="preserve">Tensile Strength (MPa) </t>
  </si>
  <si>
    <t>Compressive Strength (MPa)</t>
  </si>
  <si>
    <t>200-400</t>
  </si>
  <si>
    <t>150-300</t>
  </si>
  <si>
    <t>Thermal Conductivity (W/m·K)</t>
  </si>
  <si>
    <t>20-30</t>
  </si>
  <si>
    <t>7.5 x 10⁻⁶</t>
  </si>
  <si>
    <t>Coefficient Thermal Expansion (/°C)</t>
  </si>
  <si>
    <t>Melting Point (°C)</t>
  </si>
  <si>
    <t>Electrical Resistivity (Ω·m)</t>
  </si>
  <si>
    <t>10¹²</t>
  </si>
  <si>
    <t>400-600</t>
  </si>
  <si>
    <t>200-300</t>
  </si>
  <si>
    <t>120-200</t>
  </si>
  <si>
    <t xml:space="preserve">4.5 x 10⁻⁶ </t>
  </si>
  <si>
    <t>10⁶ to 10⁹</t>
  </si>
  <si>
    <t>Applications</t>
  </si>
  <si>
    <t>Turbine components, heat exchangers, and abrasives.</t>
  </si>
  <si>
    <t>Cutting tools, wear-resistant coatings, insulators, and structural components.</t>
  </si>
  <si>
    <t>100-200</t>
  </si>
  <si>
    <t>2-3</t>
  </si>
  <si>
    <t>10.5 x 10⁻⁶</t>
  </si>
  <si>
    <t>Thermal barrier coatings, dental applications, and oxygen sensors due to its high toughness and thermal stability</t>
  </si>
  <si>
    <t>Young's Modulus (Gpa)</t>
  </si>
  <si>
    <t>300-400</t>
  </si>
  <si>
    <t>300-450</t>
  </si>
  <si>
    <t>Cost</t>
  </si>
  <si>
    <t>$5 to $20 per kg</t>
  </si>
  <si>
    <t>$10 to $30 per kg</t>
  </si>
  <si>
    <t xml:space="preserve">$1 to $5 per kg </t>
  </si>
  <si>
    <t>Carbon Fiber Reinforced Polymer (CFRP)</t>
  </si>
  <si>
    <t>Composite</t>
  </si>
  <si>
    <t>Glass Fiber Reinforced Polymer (GFRP)</t>
  </si>
  <si>
    <t>Aramid Fiber Reinforced Polymer (AFRP)</t>
  </si>
  <si>
    <t>1.5-2.0</t>
  </si>
  <si>
    <t>500-700</t>
  </si>
  <si>
    <t>70-250</t>
  </si>
  <si>
    <t>*</t>
  </si>
  <si>
    <t>(depending on fiber orientation and type)</t>
  </si>
  <si>
    <t>5-20</t>
  </si>
  <si>
    <t>$20 to $100 per kg</t>
  </si>
  <si>
    <t xml:space="preserve">1.5-2.5 </t>
  </si>
  <si>
    <t>1.4-1.5</t>
  </si>
  <si>
    <t>30-50</t>
  </si>
  <si>
    <t>0.2-0.5</t>
  </si>
  <si>
    <t>60-100</t>
  </si>
  <si>
    <t xml:space="preserve">0.1-0.3 </t>
  </si>
  <si>
    <t>$30 to $80 per kg</t>
  </si>
  <si>
    <t>0.5-2.5 x 10⁻⁶</t>
  </si>
  <si>
    <t>300-600</t>
  </si>
  <si>
    <t>5-10 x 10⁻⁶</t>
  </si>
  <si>
    <t>Boat hulls, automotive parts, wind turbine blades, and construction materials.</t>
  </si>
  <si>
    <t>Aerospace components, automotive parts, sporting goods, and high-performance structures.</t>
  </si>
  <si>
    <t>Ballistic armor, aerospace applications, and high-performance sporting goods.</t>
  </si>
  <si>
    <t>400-500</t>
  </si>
  <si>
    <t>3-5 x 10⁻⁶</t>
  </si>
  <si>
    <t>Metals</t>
  </si>
  <si>
    <t>Magnesium (Mg)</t>
  </si>
  <si>
    <t>2.5-3</t>
  </si>
  <si>
    <t>200-350</t>
  </si>
  <si>
    <t>24 x 10⁻⁶</t>
  </si>
  <si>
    <t>$2 to $4 per kg</t>
  </si>
  <si>
    <t>Aerospace components, automotive parts, and lightweight structures.</t>
  </si>
  <si>
    <t>Titanium (Ti)</t>
  </si>
  <si>
    <t>110-120</t>
  </si>
  <si>
    <t>15-25</t>
  </si>
  <si>
    <t>8.6 x 10⁻⁶</t>
  </si>
  <si>
    <t>600-900</t>
  </si>
  <si>
    <t>$30 to $50 per kg</t>
  </si>
  <si>
    <t>Iron (Fe)</t>
  </si>
  <si>
    <t>4.0-5.0</t>
  </si>
  <si>
    <t>370-700 (Alloy dependent)</t>
  </si>
  <si>
    <t>80-100</t>
  </si>
  <si>
    <t>11-13 x 10⁻⁶</t>
  </si>
  <si>
    <t>300-900 (Alloy dependent)</t>
  </si>
  <si>
    <t>250-400</t>
  </si>
  <si>
    <t>$0.5 to $1.5 per kg</t>
  </si>
  <si>
    <t>Construction, automotive, and machinery</t>
  </si>
  <si>
    <t>Aerospace, medical implants, and high-performance applications.</t>
  </si>
  <si>
    <t>Nickel (Ni)</t>
  </si>
  <si>
    <t xml:space="preserve">350-700 </t>
  </si>
  <si>
    <t>13.4 x 10⁻⁶</t>
  </si>
  <si>
    <t>$15 to $25 per kg</t>
  </si>
  <si>
    <t>Alloys, batteries, and corrosion-resistant applications.</t>
  </si>
  <si>
    <t>Copper (Cu)</t>
  </si>
  <si>
    <t>210-400</t>
  </si>
  <si>
    <t>110-130</t>
  </si>
  <si>
    <t xml:space="preserve">200-300 </t>
  </si>
  <si>
    <t>$6 to $10 per kg</t>
  </si>
  <si>
    <t>16.5 x 10⁻⁶</t>
  </si>
  <si>
    <t>Electrical wiring, plumbing, and heat exchangers</t>
  </si>
  <si>
    <t>Zinc (Zn)</t>
  </si>
  <si>
    <t>30 x 10⁻⁶</t>
  </si>
  <si>
    <t>$1 to $3 per kg</t>
  </si>
  <si>
    <t>Galvanizing steel, die-casting, and alloys.</t>
  </si>
  <si>
    <t>Aluminum (Al)</t>
  </si>
  <si>
    <t>Lead (Pb)</t>
  </si>
  <si>
    <t>70-700 MPa (Alloy dependent)</t>
  </si>
  <si>
    <t>23 x 10⁻⁶</t>
  </si>
  <si>
    <t>Aerospace, automotive, packaging, and construction</t>
  </si>
  <si>
    <t>12-20'</t>
  </si>
  <si>
    <t>28 x 10⁻⁶</t>
  </si>
  <si>
    <t xml:space="preserve"> $1 to $3 per kg</t>
  </si>
  <si>
    <t>1.5-2.5</t>
  </si>
  <si>
    <t>Beryllium (Be)</t>
  </si>
  <si>
    <t xml:space="preserve">11.0 x 10⁻⁶ </t>
  </si>
  <si>
    <t>$300 to $500 per kg</t>
  </si>
  <si>
    <t>Aerospace components, nuclear applications, and high-performance electronics due to its lightweight and high stiffness</t>
  </si>
  <si>
    <t>Chromium (Cr)</t>
  </si>
  <si>
    <t>6.9 x 10⁻⁶</t>
  </si>
  <si>
    <t>600-800</t>
  </si>
  <si>
    <t>$5 to $10 per kg</t>
  </si>
  <si>
    <t>Used in stainless steel production, plating, and as an alloying agent to improve hardness and corrosion resistance</t>
  </si>
  <si>
    <t>Gold (Au)</t>
  </si>
  <si>
    <t>120-220</t>
  </si>
  <si>
    <t>14.2 x 10⁻⁶</t>
  </si>
  <si>
    <t>100-150</t>
  </si>
  <si>
    <t>$50 to $70 per GRAM</t>
  </si>
  <si>
    <t>Standard for monetary systems due to its conductivity and resistance to corrosion.</t>
  </si>
  <si>
    <t>Molybdenum (Mo)</t>
  </si>
  <si>
    <t>5.5-6.0</t>
  </si>
  <si>
    <t>200-550</t>
  </si>
  <si>
    <t xml:space="preserve">5.0 x 10⁻⁶ </t>
  </si>
  <si>
    <t>$20 to $30 per kg</t>
  </si>
  <si>
    <t>High-temperature applications, electrical contacts, and as an alloying agent to improve strength and hardness.</t>
  </si>
  <si>
    <t>Silver (Ag)</t>
  </si>
  <si>
    <t>18.9 x 10⁻⁶</t>
  </si>
  <si>
    <t>$0.70 to $1.50 per GRAM</t>
  </si>
  <si>
    <t>Kovar (Iron-nickel-cobalt alloy (approximately 29% nickel, 17% cobalt)</t>
  </si>
  <si>
    <t>Invar  (Iron-nickel alloy (approximately 36% nickel)</t>
  </si>
  <si>
    <t>Inconel (Nickel-chromium superalloy (varies by grade; commonly Inconel 625 and Inconel 718)</t>
  </si>
  <si>
    <t>Alloys</t>
  </si>
  <si>
    <t>5.0-6.0</t>
  </si>
  <si>
    <t>800-1200</t>
  </si>
  <si>
    <t>600-1200</t>
  </si>
  <si>
    <t>15-20</t>
  </si>
  <si>
    <t>1260-1350</t>
  </si>
  <si>
    <t>13.0 x 10⁻⁶</t>
  </si>
  <si>
    <t>$30 to $100 per kg</t>
  </si>
  <si>
    <t>$30 to $60 per kg</t>
  </si>
  <si>
    <t>12-15</t>
  </si>
  <si>
    <t>5.0 x 10⁻⁶</t>
  </si>
  <si>
    <t>$20 to $50 per kg</t>
  </si>
  <si>
    <t>electronic packaging, glass-to-metal seals, and applications requiring low thermal expansion.</t>
  </si>
  <si>
    <t>precision instruments, clocks, and applications requiring dimensional stability over temperature changes.</t>
  </si>
  <si>
    <t>aerospace, chemical processing, and high-temperature applications due to its excellent corrosion resistance and mechanical properties.</t>
  </si>
  <si>
    <t xml:space="preserve">https://staubmfg.com/resources/ultimate-guide-types-of-steel/ </t>
  </si>
  <si>
    <t>Steels</t>
  </si>
  <si>
    <t>Austenitic Alloys (304, 316)</t>
  </si>
  <si>
    <t>Stainless</t>
  </si>
  <si>
    <t>Martensitic Alloys (410, 420)</t>
  </si>
  <si>
    <t>Alloy</t>
  </si>
  <si>
    <t>Tungsten</t>
  </si>
  <si>
    <t>Nickel</t>
  </si>
  <si>
    <t>Cobalt (Co)</t>
  </si>
  <si>
    <t>Medium Steel (1040, 1050, 1060)</t>
  </si>
  <si>
    <t>High Steel (1070, 1080, 1090)</t>
  </si>
  <si>
    <t>Mild Steel (1010, 1020)</t>
  </si>
  <si>
    <t>4.5 x 10⁻⁶</t>
  </si>
  <si>
    <t>800-1000</t>
  </si>
  <si>
    <t>Vanadium (V)</t>
  </si>
  <si>
    <t>Tungsten (W)</t>
  </si>
  <si>
    <t xml:space="preserve">7.0 x 10⁻⁶ </t>
  </si>
  <si>
    <t>350-600</t>
  </si>
  <si>
    <t xml:space="preserve">13.0 x 10⁻⁶ </t>
  </si>
  <si>
    <t>Used in superalloys, hard metals, batteries, and magnetic materials due to its high strength and resistance to wear.</t>
  </si>
  <si>
    <t>Used in high-strength steel alloys, aerospace components, and as a catalyst in chemical reactions.</t>
  </si>
  <si>
    <t>Used in aerospace applications, electrical contacts, filaments for light bulbs, and as a material for high-temperature applications due to its high melting point and strength.</t>
  </si>
  <si>
    <t>6.0-7.0</t>
  </si>
  <si>
    <t>$0.5 to $3.0 per kg</t>
  </si>
  <si>
    <t>$0.5 to $2.0 per kg</t>
  </si>
  <si>
    <t>370-700</t>
  </si>
  <si>
    <t>50-60</t>
  </si>
  <si>
    <t>12 x 10⁻⁶</t>
  </si>
  <si>
    <t>1.2 x 10⁻⁶</t>
  </si>
  <si>
    <t>1425-1540</t>
  </si>
  <si>
    <t>construction, automotive components, and general fabrication due to its good ductility and weldability.</t>
  </si>
  <si>
    <t xml:space="preserve">400-800 </t>
  </si>
  <si>
    <t>40-50</t>
  </si>
  <si>
    <t>400-800</t>
  </si>
  <si>
    <t>30-40</t>
  </si>
  <si>
    <t>Used in the manufacture of cutting tools, springs, and high-strength wires due to its high hardness and wear resistance.</t>
  </si>
  <si>
    <t>Used in manufacturing automotive parts, machinery components, and structural applications requiring a balance of strength and ductility.</t>
  </si>
  <si>
    <t>Ferritic Alloys (430, 434, 446)</t>
  </si>
  <si>
    <t>520-800</t>
  </si>
  <si>
    <t>FCC</t>
  </si>
  <si>
    <t>Crystal Structure</t>
  </si>
  <si>
    <t>1400-1450</t>
  </si>
  <si>
    <t>17 x 10⁻⁶</t>
  </si>
  <si>
    <t>2.0-3</t>
  </si>
  <si>
    <t>$2 to $5 per kg</t>
  </si>
  <si>
    <t>BCC</t>
  </si>
  <si>
    <t>25-30</t>
  </si>
  <si>
    <t>11 x 10⁻⁶</t>
  </si>
  <si>
    <t>1400-1500</t>
  </si>
  <si>
    <t>500-900</t>
  </si>
  <si>
    <t xml:space="preserve">Martensitic </t>
  </si>
  <si>
    <t xml:space="preserve">High strength and hardness, making them ideal for cutlery and surgical instruments, </t>
  </si>
  <si>
    <t>Magnetic, Good ductility and resistance to stress corrosion cracking, used in automotive and decorative applications</t>
  </si>
  <si>
    <t>Excellent corrosion resistance and ductility, making them suitable for kitchen equipment and medical devices</t>
  </si>
  <si>
    <t>Category</t>
  </si>
  <si>
    <t>Metal Alloys</t>
  </si>
  <si>
    <t>Material</t>
  </si>
  <si>
    <t>4 x 10⁻⁶</t>
  </si>
  <si>
    <t>Iron 
(Fe)</t>
  </si>
  <si>
    <t>Carbon 
(C)</t>
  </si>
  <si>
    <t xml:space="preserve">Kovar </t>
  </si>
  <si>
    <t xml:space="preserve">Invar </t>
  </si>
  <si>
    <t>Molybdenum 
(Mb)</t>
  </si>
  <si>
    <t>SUM</t>
  </si>
  <si>
    <t>Niobium</t>
  </si>
  <si>
    <t>Family</t>
  </si>
  <si>
    <t>Inconel</t>
  </si>
  <si>
    <t>High Carbon Steel</t>
  </si>
  <si>
    <t>Low Carbon / Mild Steel</t>
  </si>
  <si>
    <t xml:space="preserve">Medium Carbon Steel </t>
  </si>
  <si>
    <t>Stainless Steel Austenitic</t>
  </si>
  <si>
    <t>Stainless Steel Ferritic</t>
  </si>
  <si>
    <t>Stainless Steel Martensitic</t>
  </si>
  <si>
    <t>P</t>
  </si>
  <si>
    <t>S</t>
  </si>
  <si>
    <t>Mn</t>
  </si>
  <si>
    <t>Invar</t>
  </si>
  <si>
    <t>Superpower</t>
  </si>
  <si>
    <t>Very low coefficient of thermal expansion</t>
  </si>
  <si>
    <t>High-temperature and corrosive environments</t>
  </si>
  <si>
    <t>High Temperature, Strong, Stiffness</t>
  </si>
  <si>
    <t>Biocompatibility &amp; Biodegradable</t>
  </si>
  <si>
    <t>Bio Compatibility</t>
  </si>
  <si>
    <t>Corrosion Resistance, Inertness, Tissue Response</t>
  </si>
  <si>
    <t>Titanium</t>
  </si>
  <si>
    <t>Zirconium</t>
  </si>
  <si>
    <t xml:space="preserve">Magnesium </t>
  </si>
  <si>
    <t>Cobalt-Chromium</t>
  </si>
  <si>
    <t>Stainless Steel 316L</t>
  </si>
  <si>
    <t>Low CTE</t>
  </si>
  <si>
    <t>Ceramics</t>
  </si>
  <si>
    <t>Composites</t>
  </si>
  <si>
    <t xml:space="preserve">Tungsten </t>
  </si>
  <si>
    <t>Molybdenum</t>
  </si>
  <si>
    <t>Least Dense</t>
  </si>
  <si>
    <t>Beryllium</t>
  </si>
  <si>
    <t>Magnesium</t>
  </si>
  <si>
    <t>Aluminum</t>
  </si>
  <si>
    <t>Most Dense</t>
  </si>
  <si>
    <t>Gold</t>
  </si>
  <si>
    <t>Lead</t>
  </si>
  <si>
    <t>Silver</t>
  </si>
  <si>
    <t>Iron / Steels</t>
  </si>
  <si>
    <t>Cheapest</t>
  </si>
  <si>
    <t>Expensive</t>
  </si>
  <si>
    <t>Zinc</t>
  </si>
  <si>
    <t>Alumina Ceramic</t>
  </si>
  <si>
    <t>CFRP</t>
  </si>
  <si>
    <t>Strongest</t>
  </si>
  <si>
    <t>Weakest</t>
  </si>
  <si>
    <t>Young's Modulus</t>
  </si>
  <si>
    <t>High</t>
  </si>
  <si>
    <t>Low</t>
  </si>
  <si>
    <t>GFRP</t>
  </si>
  <si>
    <t>Gold / Silver</t>
  </si>
  <si>
    <t>Corrosion Resistant</t>
  </si>
  <si>
    <t>Chromium</t>
  </si>
  <si>
    <t>Stainless Steels</t>
  </si>
  <si>
    <t xml:space="preserve">Titanium </t>
  </si>
  <si>
    <t xml:space="preserve">Aluminum  </t>
  </si>
  <si>
    <t>NOT Corrosion Resistant</t>
  </si>
  <si>
    <t>Iron</t>
  </si>
  <si>
    <t>Carbon Steels</t>
  </si>
  <si>
    <t>Copper</t>
  </si>
  <si>
    <t>Glass-to-metal: Designed to have substantially the same thermal expansion characteristics as borosilicate glass (≈5 ppm/K between 30 and 200 °C, to ≈10 ppm/K at 800 °C) to allow a tight mechanical joint between the two materials over a range of temperatures</t>
  </si>
  <si>
    <t>electronic packaging, glass-to-metal seals, and applications requiring low thermal expansion - Lightbulbs, Vacuum Tubes, Cathode-Ray Tubes</t>
  </si>
  <si>
    <t>Cobalt 
(Co)</t>
  </si>
  <si>
    <t>Insane Strength-Weight Ratio but Highly Toxic and hard to machine</t>
  </si>
  <si>
    <t>Kovar</t>
  </si>
  <si>
    <t>Young's Modulus (Gpa/kg)</t>
  </si>
  <si>
    <t xml:space="preserve">Tensile Strength (Mpa/kg) </t>
  </si>
  <si>
    <t>Alumina (Aluminum Oxide, 96% Al₂O₃)</t>
  </si>
  <si>
    <t>Density (kg/m³)</t>
  </si>
  <si>
    <t>Yield Strength (MPa)</t>
  </si>
  <si>
    <t>Young's Modulus E (GPa)</t>
  </si>
  <si>
    <t>Ult Tensile Strength (MPa)</t>
  </si>
  <si>
    <t>Thermal Conductivity k (W/m·K)</t>
  </si>
  <si>
    <t>Coefficient Thermal Expansion alpha (um/m*K)</t>
  </si>
  <si>
    <t>Specific Heat Capacity Cp (J/kg*K)</t>
  </si>
  <si>
    <t>Max Operating Temperature T_max ©</t>
  </si>
  <si>
    <t>Machinability</t>
  </si>
  <si>
    <t>Corrision Resistance</t>
  </si>
  <si>
    <t>Zirconia (Zirconium Dioxide, ZrO₂) YSZ</t>
  </si>
  <si>
    <t>Soda-Lime Glass</t>
  </si>
  <si>
    <t>Fused Silica</t>
  </si>
  <si>
    <t>Silicon Nitride Si3N4</t>
  </si>
  <si>
    <t>Boron Carbide</t>
  </si>
  <si>
    <t>CFRP Unidirectional</t>
  </si>
  <si>
    <t>CFRP Woven</t>
  </si>
  <si>
    <t>GFRP Unidirectional</t>
  </si>
  <si>
    <t>GFRP Woven</t>
  </si>
  <si>
    <t>Kevlar (Woven)</t>
  </si>
  <si>
    <t>Concrete</t>
  </si>
  <si>
    <t>Al Alloy</t>
  </si>
  <si>
    <t>2024-T3</t>
  </si>
  <si>
    <t>5052-H32</t>
  </si>
  <si>
    <t>6061-T6</t>
  </si>
  <si>
    <t>7075-T6</t>
  </si>
  <si>
    <t>A356.0-T6(Cast)</t>
  </si>
  <si>
    <t>Carbon Steel</t>
  </si>
  <si>
    <t>AISI 1020</t>
  </si>
  <si>
    <t>AISI 1045</t>
  </si>
  <si>
    <t>Tool Steel</t>
  </si>
  <si>
    <t>AISI H13</t>
  </si>
  <si>
    <t>Stainless Steel</t>
  </si>
  <si>
    <t>Gray Cast Iron</t>
  </si>
  <si>
    <t>Inconel 718</t>
  </si>
  <si>
    <t>Titanium Alloy (Ti-6Al-4V)</t>
  </si>
  <si>
    <t>Magnesium Alloy (AZ31B)</t>
  </si>
  <si>
    <t>Brass (C36000)</t>
  </si>
  <si>
    <t>Bronze (C93200)</t>
  </si>
  <si>
    <t>Pure Metals</t>
  </si>
  <si>
    <t>Tin (Tn)</t>
  </si>
  <si>
    <t>Platinum (Pt)</t>
  </si>
  <si>
    <t>Recycl</t>
  </si>
  <si>
    <t>Polymers</t>
  </si>
  <si>
    <t>Thermoplastic - semi-cystalline</t>
  </si>
  <si>
    <t>Thermoplastic - amorphous</t>
  </si>
  <si>
    <t>LDPE</t>
  </si>
  <si>
    <t>HDPE</t>
  </si>
  <si>
    <t>UHMWPE</t>
  </si>
  <si>
    <t>Polypropylene (PP)</t>
  </si>
  <si>
    <t>Nylon 6</t>
  </si>
  <si>
    <t>PTFE (Teflon)</t>
  </si>
  <si>
    <t>PET</t>
  </si>
  <si>
    <t>Acetal (POM)</t>
  </si>
  <si>
    <t>PEEK</t>
  </si>
  <si>
    <t>Polystyrene (PS)</t>
  </si>
  <si>
    <t>PVC (Rigid)</t>
  </si>
  <si>
    <t>Polycarbonate (PC)</t>
  </si>
  <si>
    <t>PMMA (Acrylic)</t>
  </si>
  <si>
    <t>ABS</t>
  </si>
  <si>
    <t>Thermosets</t>
  </si>
  <si>
    <t>Epoxy (Cast)</t>
  </si>
  <si>
    <t>Polyimide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</si>
</sst>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49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0E2841"/>
                </a:solidFill>
              </a:rPr>
              <a:t>Modulus vs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Ceramic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25400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Sheet2!$C$3:$C$5</c:f>
              <c:numCache>
                <c:formatCode>General</c:formatCode>
                <c:ptCount val="3"/>
                <c:pt idx="0">
                  <c:v>400</c:v>
                </c:pt>
                <c:pt idx="1">
                  <c:v>450</c:v>
                </c:pt>
                <c:pt idx="2">
                  <c:v>300</c:v>
                </c:pt>
              </c:numCache>
            </c:numRef>
          </c:xVal>
          <c:yVal>
            <c:numRef>
              <c:f>Sheet2!$D$3:$D$5</c:f>
              <c:numCache>
                <c:formatCode>General</c:formatCode>
                <c:ptCount val="3"/>
                <c:pt idx="0">
                  <c:v>300</c:v>
                </c:pt>
                <c:pt idx="1">
                  <c:v>300</c:v>
                </c:pt>
                <c:pt idx="2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2E-49A6-9A2C-9FE1F13D108D}"/>
            </c:ext>
          </c:extLst>
        </c:ser>
        <c:ser>
          <c:idx val="1"/>
          <c:order val="1"/>
          <c:tx>
            <c:v>Composites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25400">
                <a:solidFill>
                  <a:srgbClr val="00B0F0"/>
                </a:solidFill>
                <a:round/>
              </a:ln>
              <a:effectLst/>
            </c:spPr>
          </c:marker>
          <c:xVal>
            <c:numRef>
              <c:f>Sheet2!$C$7:$C$9</c:f>
              <c:numCache>
                <c:formatCode>General</c:formatCode>
                <c:ptCount val="3"/>
                <c:pt idx="0">
                  <c:v>200</c:v>
                </c:pt>
                <c:pt idx="1">
                  <c:v>50</c:v>
                </c:pt>
                <c:pt idx="2">
                  <c:v>100</c:v>
                </c:pt>
              </c:numCache>
            </c:numRef>
          </c:xVal>
          <c:yVal>
            <c:numRef>
              <c:f>Sheet2!$D$7:$D$9</c:f>
              <c:numCache>
                <c:formatCode>General</c:formatCode>
                <c:ptCount val="3"/>
                <c:pt idx="0">
                  <c:v>700</c:v>
                </c:pt>
                <c:pt idx="1">
                  <c:v>400</c:v>
                </c:pt>
                <c:pt idx="2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2E-49A6-9A2C-9FE1F13D108D}"/>
            </c:ext>
          </c:extLst>
        </c:ser>
        <c:ser>
          <c:idx val="2"/>
          <c:order val="2"/>
          <c:tx>
            <c:v>Metals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25400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Sheet2!$C$11:$C$34</c:f>
              <c:numCache>
                <c:formatCode>General</c:formatCode>
                <c:ptCount val="24"/>
                <c:pt idx="0">
                  <c:v>45</c:v>
                </c:pt>
                <c:pt idx="1">
                  <c:v>120</c:v>
                </c:pt>
                <c:pt idx="2">
                  <c:v>210</c:v>
                </c:pt>
                <c:pt idx="3">
                  <c:v>200</c:v>
                </c:pt>
                <c:pt idx="4">
                  <c:v>130</c:v>
                </c:pt>
                <c:pt idx="5">
                  <c:v>100</c:v>
                </c:pt>
                <c:pt idx="6">
                  <c:v>70</c:v>
                </c:pt>
                <c:pt idx="7">
                  <c:v>287</c:v>
                </c:pt>
                <c:pt idx="8">
                  <c:v>240</c:v>
                </c:pt>
                <c:pt idx="9">
                  <c:v>79</c:v>
                </c:pt>
                <c:pt idx="10">
                  <c:v>330</c:v>
                </c:pt>
                <c:pt idx="11">
                  <c:v>70</c:v>
                </c:pt>
                <c:pt idx="12">
                  <c:v>400</c:v>
                </c:pt>
                <c:pt idx="13">
                  <c:v>130</c:v>
                </c:pt>
                <c:pt idx="14">
                  <c:v>210</c:v>
                </c:pt>
                <c:pt idx="15">
                  <c:v>200</c:v>
                </c:pt>
                <c:pt idx="16">
                  <c:v>145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</c:numCache>
            </c:numRef>
          </c:xVal>
          <c:yVal>
            <c:numRef>
              <c:f>Sheet2!$D$11:$D$34</c:f>
              <c:numCache>
                <c:formatCode>General</c:formatCode>
                <c:ptCount val="24"/>
                <c:pt idx="0">
                  <c:v>350</c:v>
                </c:pt>
                <c:pt idx="1">
                  <c:v>900</c:v>
                </c:pt>
                <c:pt idx="2">
                  <c:v>700</c:v>
                </c:pt>
                <c:pt idx="3">
                  <c:v>700</c:v>
                </c:pt>
                <c:pt idx="4">
                  <c:v>400</c:v>
                </c:pt>
                <c:pt idx="5">
                  <c:v>400</c:v>
                </c:pt>
                <c:pt idx="6">
                  <c:v>500</c:v>
                </c:pt>
                <c:pt idx="7">
                  <c:v>400</c:v>
                </c:pt>
                <c:pt idx="8">
                  <c:v>600</c:v>
                </c:pt>
                <c:pt idx="9">
                  <c:v>220</c:v>
                </c:pt>
                <c:pt idx="10">
                  <c:v>550</c:v>
                </c:pt>
                <c:pt idx="11">
                  <c:v>300</c:v>
                </c:pt>
                <c:pt idx="12">
                  <c:v>1510</c:v>
                </c:pt>
                <c:pt idx="13">
                  <c:v>500</c:v>
                </c:pt>
                <c:pt idx="14">
                  <c:v>400</c:v>
                </c:pt>
                <c:pt idx="15">
                  <c:v>500</c:v>
                </c:pt>
                <c:pt idx="16">
                  <c:v>450</c:v>
                </c:pt>
                <c:pt idx="17">
                  <c:v>800</c:v>
                </c:pt>
                <c:pt idx="18">
                  <c:v>550</c:v>
                </c:pt>
                <c:pt idx="19">
                  <c:v>600</c:v>
                </c:pt>
                <c:pt idx="20">
                  <c:v>900</c:v>
                </c:pt>
                <c:pt idx="21">
                  <c:v>700</c:v>
                </c:pt>
                <c:pt idx="22">
                  <c:v>450</c:v>
                </c:pt>
                <c:pt idx="23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2E-49A6-9A2C-9FE1F13D1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015391"/>
        <c:axId val="1210001471"/>
      </c:scatterChart>
      <c:valAx>
        <c:axId val="121001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0E2841"/>
                    </a:solidFill>
                  </a:rPr>
                  <a:t>Young's Modulus </a:t>
                </a:r>
                <a:r>
                  <a:rPr lang="en-US" sz="800" b="1" i="0" u="none" strike="noStrike" kern="1200" baseline="0">
                    <a:solidFill>
                      <a:srgbClr val="0E2841"/>
                    </a:solidFill>
                  </a:rPr>
                  <a:t>(GPa) </a:t>
                </a:r>
                <a:endParaRPr lang="en-US" sz="900" b="1" i="0" u="none" strike="noStrike" kern="1200" baseline="0">
                  <a:solidFill>
                    <a:srgbClr val="0E284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001471"/>
        <c:crosses val="autoZero"/>
        <c:crossBetween val="midCat"/>
      </c:valAx>
      <c:valAx>
        <c:axId val="121000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0E2841"/>
                    </a:solidFill>
                  </a:rPr>
                  <a:t>Tensile Strength </a:t>
                </a:r>
                <a:r>
                  <a:rPr lang="en-US" sz="800" b="1" i="0" u="none" strike="noStrike" kern="1200" baseline="0">
                    <a:solidFill>
                      <a:srgbClr val="0E2841"/>
                    </a:solidFill>
                  </a:rPr>
                  <a:t>(MPa) </a:t>
                </a:r>
                <a:endParaRPr lang="en-US" sz="900" b="1" i="0" u="none" strike="noStrike" kern="1200" baseline="0">
                  <a:solidFill>
                    <a:srgbClr val="0E284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015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Modulus vs Strength per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Ceramic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Sheet2!$G$3:$G$5</c:f>
              <c:numCache>
                <c:formatCode>General</c:formatCode>
                <c:ptCount val="3"/>
                <c:pt idx="0">
                  <c:v>101.26582278481013</c:v>
                </c:pt>
                <c:pt idx="1">
                  <c:v>140.18691588785046</c:v>
                </c:pt>
                <c:pt idx="2">
                  <c:v>50</c:v>
                </c:pt>
              </c:numCache>
            </c:numRef>
          </c:xVal>
          <c:yVal>
            <c:numRef>
              <c:f>Sheet2!$H$3:$H$5</c:f>
              <c:numCache>
                <c:formatCode>General</c:formatCode>
                <c:ptCount val="3"/>
                <c:pt idx="0">
                  <c:v>75.949367088607588</c:v>
                </c:pt>
                <c:pt idx="1">
                  <c:v>93.45794392523365</c:v>
                </c:pt>
                <c:pt idx="2">
                  <c:v>33.333333333333336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47-4594-BC72-A607097F93DF}"/>
            </c:ext>
          </c:extLst>
        </c:ser>
        <c:ser>
          <c:idx val="1"/>
          <c:order val="1"/>
          <c:tx>
            <c:v>Composites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Sheet2!$G$7:$G$9</c:f>
              <c:numCache>
                <c:formatCode>General</c:formatCode>
                <c:ptCount val="3"/>
                <c:pt idx="0">
                  <c:v>100</c:v>
                </c:pt>
                <c:pt idx="1">
                  <c:v>20</c:v>
                </c:pt>
                <c:pt idx="2">
                  <c:v>66.666666666666671</c:v>
                </c:pt>
              </c:numCache>
            </c:numRef>
          </c:xVal>
          <c:yVal>
            <c:numRef>
              <c:f>Sheet2!$H$7:$H$9</c:f>
              <c:numCache>
                <c:formatCode>General</c:formatCode>
                <c:ptCount val="3"/>
                <c:pt idx="0">
                  <c:v>350</c:v>
                </c:pt>
                <c:pt idx="1">
                  <c:v>160</c:v>
                </c:pt>
                <c:pt idx="2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47-4594-BC72-A607097F93DF}"/>
            </c:ext>
          </c:extLst>
        </c:ser>
        <c:ser>
          <c:idx val="2"/>
          <c:order val="2"/>
          <c:tx>
            <c:v>Metals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Sheet2!$G$11:$G$34</c:f>
              <c:numCache>
                <c:formatCode>General</c:formatCode>
                <c:ptCount val="24"/>
                <c:pt idx="0">
                  <c:v>25.862068965517242</c:v>
                </c:pt>
                <c:pt idx="1">
                  <c:v>26.607538802660756</c:v>
                </c:pt>
                <c:pt idx="2">
                  <c:v>26.683608640406607</c:v>
                </c:pt>
                <c:pt idx="3">
                  <c:v>22.471910112359549</c:v>
                </c:pt>
                <c:pt idx="4">
                  <c:v>14.508928571428569</c:v>
                </c:pt>
                <c:pt idx="5">
                  <c:v>14.005602240896359</c:v>
                </c:pt>
                <c:pt idx="6">
                  <c:v>25.925925925925924</c:v>
                </c:pt>
                <c:pt idx="7">
                  <c:v>155.13513513513513</c:v>
                </c:pt>
                <c:pt idx="8">
                  <c:v>33.379694019471486</c:v>
                </c:pt>
                <c:pt idx="9">
                  <c:v>4.0890269151138714</c:v>
                </c:pt>
                <c:pt idx="10">
                  <c:v>32.289628180039138</c:v>
                </c:pt>
                <c:pt idx="11">
                  <c:v>6.6730219256434697</c:v>
                </c:pt>
                <c:pt idx="12">
                  <c:v>20.779220779220779</c:v>
                </c:pt>
                <c:pt idx="13">
                  <c:v>21.276595744680851</c:v>
                </c:pt>
                <c:pt idx="14">
                  <c:v>23.595505617977526</c:v>
                </c:pt>
                <c:pt idx="15">
                  <c:v>23.80952380952381</c:v>
                </c:pt>
                <c:pt idx="16">
                  <c:v>18.125</c:v>
                </c:pt>
                <c:pt idx="17">
                  <c:v>23.696682464454977</c:v>
                </c:pt>
                <c:pt idx="18">
                  <c:v>25.477707006369428</c:v>
                </c:pt>
                <c:pt idx="19">
                  <c:v>25.477707006369428</c:v>
                </c:pt>
                <c:pt idx="20">
                  <c:v>25.477707006369428</c:v>
                </c:pt>
                <c:pt idx="21">
                  <c:v>25.220680958385877</c:v>
                </c:pt>
                <c:pt idx="22">
                  <c:v>25.974025974025974</c:v>
                </c:pt>
                <c:pt idx="23">
                  <c:v>25.974025974025974</c:v>
                </c:pt>
              </c:numCache>
            </c:numRef>
          </c:xVal>
          <c:yVal>
            <c:numRef>
              <c:f>Sheet2!$H$11:$H$34</c:f>
              <c:numCache>
                <c:formatCode>General</c:formatCode>
                <c:ptCount val="24"/>
                <c:pt idx="0">
                  <c:v>201.14942528735634</c:v>
                </c:pt>
                <c:pt idx="1">
                  <c:v>199.55654101995566</c:v>
                </c:pt>
                <c:pt idx="2">
                  <c:v>88.945362134688693</c:v>
                </c:pt>
                <c:pt idx="3">
                  <c:v>78.651685393258418</c:v>
                </c:pt>
                <c:pt idx="4">
                  <c:v>44.642857142857139</c:v>
                </c:pt>
                <c:pt idx="5">
                  <c:v>56.022408963585434</c:v>
                </c:pt>
                <c:pt idx="6">
                  <c:v>185.18518518518516</c:v>
                </c:pt>
                <c:pt idx="7">
                  <c:v>216.2162162162162</c:v>
                </c:pt>
                <c:pt idx="8">
                  <c:v>83.449235048678716</c:v>
                </c:pt>
                <c:pt idx="9">
                  <c:v>11.387163561076605</c:v>
                </c:pt>
                <c:pt idx="10">
                  <c:v>53.816046966731896</c:v>
                </c:pt>
                <c:pt idx="11">
                  <c:v>28.598665395614869</c:v>
                </c:pt>
                <c:pt idx="12">
                  <c:v>78.441558441558442</c:v>
                </c:pt>
                <c:pt idx="13">
                  <c:v>81.833060556464801</c:v>
                </c:pt>
                <c:pt idx="14">
                  <c:v>44.943820224719097</c:v>
                </c:pt>
                <c:pt idx="15">
                  <c:v>59.523809523809518</c:v>
                </c:pt>
                <c:pt idx="16">
                  <c:v>56.25</c:v>
                </c:pt>
                <c:pt idx="17">
                  <c:v>94.786729857819907</c:v>
                </c:pt>
                <c:pt idx="18">
                  <c:v>70.063694267515928</c:v>
                </c:pt>
                <c:pt idx="19">
                  <c:v>76.433121019108285</c:v>
                </c:pt>
                <c:pt idx="20">
                  <c:v>114.64968152866243</c:v>
                </c:pt>
                <c:pt idx="21">
                  <c:v>88.272383354350566</c:v>
                </c:pt>
                <c:pt idx="22">
                  <c:v>58.441558441558442</c:v>
                </c:pt>
                <c:pt idx="23">
                  <c:v>90.909090909090907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47-4594-BC72-A607097F9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537839"/>
        <c:axId val="1575556559"/>
      </c:scatterChart>
      <c:valAx>
        <c:axId val="15755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0E2841"/>
                    </a:solidFill>
                  </a:rPr>
                  <a:t>Young's Modulus per Density </a:t>
                </a:r>
                <a:r>
                  <a:rPr lang="en-US" sz="800" b="1" i="0" u="none" strike="noStrike" kern="1200" baseline="0">
                    <a:solidFill>
                      <a:srgbClr val="0E2841"/>
                    </a:solidFill>
                  </a:rPr>
                  <a:t>(GPa/kg) </a:t>
                </a:r>
                <a:endParaRPr lang="en-US" sz="900" b="1" i="0" u="none" strike="noStrike" kern="1200" baseline="0">
                  <a:solidFill>
                    <a:srgbClr val="0E284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56559"/>
        <c:crosses val="autoZero"/>
        <c:crossBetween val="midCat"/>
      </c:valAx>
      <c:valAx>
        <c:axId val="157555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Tensile Strength per Density </a:t>
                </a:r>
                <a:r>
                  <a:rPr lang="en-US" sz="800" b="1" i="0" u="none" strike="noStrike" kern="1200" baseline="0">
                    <a:solidFill>
                      <a:srgbClr val="0E2841"/>
                    </a:solidFill>
                  </a:rPr>
                  <a:t>(MPa/kg)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3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Compositions!$B$2:$B$22</c:f>
              <c:strCache>
                <c:ptCount val="21"/>
                <c:pt idx="0">
                  <c:v>Kovar </c:v>
                </c:pt>
                <c:pt idx="1">
                  <c:v>36</c:v>
                </c:pt>
                <c:pt idx="2">
                  <c:v>600</c:v>
                </c:pt>
                <c:pt idx="3">
                  <c:v>625</c:v>
                </c:pt>
                <c:pt idx="4">
                  <c:v>718</c:v>
                </c:pt>
                <c:pt idx="6">
                  <c:v>1010</c:v>
                </c:pt>
                <c:pt idx="7">
                  <c:v>1020</c:v>
                </c:pt>
                <c:pt idx="8">
                  <c:v>1040</c:v>
                </c:pt>
                <c:pt idx="9">
                  <c:v>1050</c:v>
                </c:pt>
                <c:pt idx="10">
                  <c:v>1060</c:v>
                </c:pt>
                <c:pt idx="11">
                  <c:v>1070</c:v>
                </c:pt>
                <c:pt idx="12">
                  <c:v>1080</c:v>
                </c:pt>
                <c:pt idx="14">
                  <c:v>304</c:v>
                </c:pt>
                <c:pt idx="15">
                  <c:v>316</c:v>
                </c:pt>
                <c:pt idx="16">
                  <c:v>430</c:v>
                </c:pt>
                <c:pt idx="17">
                  <c:v>434</c:v>
                </c:pt>
                <c:pt idx="18">
                  <c:v>446</c:v>
                </c:pt>
                <c:pt idx="19">
                  <c:v>410</c:v>
                </c:pt>
                <c:pt idx="20">
                  <c:v>420</c:v>
                </c:pt>
              </c:strCache>
            </c:strRef>
          </c:cat>
          <c:val>
            <c:numRef>
              <c:f>Compositions!$D$2:$D$22</c:f>
              <c:numCache>
                <c:formatCode>General</c:formatCode>
                <c:ptCount val="21"/>
                <c:pt idx="0">
                  <c:v>53</c:v>
                </c:pt>
                <c:pt idx="1">
                  <c:v>64</c:v>
                </c:pt>
                <c:pt idx="2">
                  <c:v>8.5</c:v>
                </c:pt>
                <c:pt idx="3">
                  <c:v>4.8499999999999943</c:v>
                </c:pt>
                <c:pt idx="4">
                  <c:v>24.620000000000005</c:v>
                </c:pt>
                <c:pt idx="6">
                  <c:v>99.31</c:v>
                </c:pt>
                <c:pt idx="7">
                  <c:v>99.21</c:v>
                </c:pt>
                <c:pt idx="8">
                  <c:v>98.71</c:v>
                </c:pt>
                <c:pt idx="9">
                  <c:v>98.61</c:v>
                </c:pt>
                <c:pt idx="10">
                  <c:v>98.51</c:v>
                </c:pt>
                <c:pt idx="11">
                  <c:v>98.41</c:v>
                </c:pt>
                <c:pt idx="12">
                  <c:v>98.31</c:v>
                </c:pt>
                <c:pt idx="14">
                  <c:v>67.84</c:v>
                </c:pt>
                <c:pt idx="15">
                  <c:v>64.87</c:v>
                </c:pt>
                <c:pt idx="16">
                  <c:v>80.06</c:v>
                </c:pt>
                <c:pt idx="17">
                  <c:v>79.06</c:v>
                </c:pt>
                <c:pt idx="18">
                  <c:v>71.260000000000005</c:v>
                </c:pt>
                <c:pt idx="19">
                  <c:v>83.31</c:v>
                </c:pt>
                <c:pt idx="20">
                  <c:v>83.78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A-4153-86BC-E9F287719A05}"/>
            </c:ext>
          </c:extLst>
        </c:ser>
        <c:ser>
          <c:idx val="1"/>
          <c:order val="1"/>
          <c:tx>
            <c:v>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Compositions!$B$2:$B$22</c:f>
              <c:strCache>
                <c:ptCount val="21"/>
                <c:pt idx="0">
                  <c:v>Kovar </c:v>
                </c:pt>
                <c:pt idx="1">
                  <c:v>36</c:v>
                </c:pt>
                <c:pt idx="2">
                  <c:v>600</c:v>
                </c:pt>
                <c:pt idx="3">
                  <c:v>625</c:v>
                </c:pt>
                <c:pt idx="4">
                  <c:v>718</c:v>
                </c:pt>
                <c:pt idx="6">
                  <c:v>1010</c:v>
                </c:pt>
                <c:pt idx="7">
                  <c:v>1020</c:v>
                </c:pt>
                <c:pt idx="8">
                  <c:v>1040</c:v>
                </c:pt>
                <c:pt idx="9">
                  <c:v>1050</c:v>
                </c:pt>
                <c:pt idx="10">
                  <c:v>1060</c:v>
                </c:pt>
                <c:pt idx="11">
                  <c:v>1070</c:v>
                </c:pt>
                <c:pt idx="12">
                  <c:v>1080</c:v>
                </c:pt>
                <c:pt idx="14">
                  <c:v>304</c:v>
                </c:pt>
                <c:pt idx="15">
                  <c:v>316</c:v>
                </c:pt>
                <c:pt idx="16">
                  <c:v>430</c:v>
                </c:pt>
                <c:pt idx="17">
                  <c:v>434</c:v>
                </c:pt>
                <c:pt idx="18">
                  <c:v>446</c:v>
                </c:pt>
                <c:pt idx="19">
                  <c:v>410</c:v>
                </c:pt>
                <c:pt idx="20">
                  <c:v>420</c:v>
                </c:pt>
              </c:strCache>
            </c:strRef>
          </c:cat>
          <c:val>
            <c:numRef>
              <c:f>Compositions!$E$2:$E$22</c:f>
              <c:numCache>
                <c:formatCode>General</c:formatCode>
                <c:ptCount val="21"/>
                <c:pt idx="6">
                  <c:v>0.1</c:v>
                </c:pt>
                <c:pt idx="7">
                  <c:v>0.2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0.7</c:v>
                </c:pt>
                <c:pt idx="12">
                  <c:v>0.8</c:v>
                </c:pt>
                <c:pt idx="14">
                  <c:v>0.08</c:v>
                </c:pt>
                <c:pt idx="15">
                  <c:v>0.08</c:v>
                </c:pt>
                <c:pt idx="16">
                  <c:v>0.12</c:v>
                </c:pt>
                <c:pt idx="17">
                  <c:v>0.12</c:v>
                </c:pt>
                <c:pt idx="18">
                  <c:v>0.2</c:v>
                </c:pt>
                <c:pt idx="19">
                  <c:v>0.4</c:v>
                </c:pt>
                <c:pt idx="2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4A-4153-86BC-E9F287719A05}"/>
            </c:ext>
          </c:extLst>
        </c:ser>
        <c:ser>
          <c:idx val="2"/>
          <c:order val="2"/>
          <c:tx>
            <c:v>Ni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Compositions!$B$2:$B$22</c:f>
              <c:strCache>
                <c:ptCount val="21"/>
                <c:pt idx="0">
                  <c:v>Kovar </c:v>
                </c:pt>
                <c:pt idx="1">
                  <c:v>36</c:v>
                </c:pt>
                <c:pt idx="2">
                  <c:v>600</c:v>
                </c:pt>
                <c:pt idx="3">
                  <c:v>625</c:v>
                </c:pt>
                <c:pt idx="4">
                  <c:v>718</c:v>
                </c:pt>
                <c:pt idx="6">
                  <c:v>1010</c:v>
                </c:pt>
                <c:pt idx="7">
                  <c:v>1020</c:v>
                </c:pt>
                <c:pt idx="8">
                  <c:v>1040</c:v>
                </c:pt>
                <c:pt idx="9">
                  <c:v>1050</c:v>
                </c:pt>
                <c:pt idx="10">
                  <c:v>1060</c:v>
                </c:pt>
                <c:pt idx="11">
                  <c:v>1070</c:v>
                </c:pt>
                <c:pt idx="12">
                  <c:v>1080</c:v>
                </c:pt>
                <c:pt idx="14">
                  <c:v>304</c:v>
                </c:pt>
                <c:pt idx="15">
                  <c:v>316</c:v>
                </c:pt>
                <c:pt idx="16">
                  <c:v>430</c:v>
                </c:pt>
                <c:pt idx="17">
                  <c:v>434</c:v>
                </c:pt>
                <c:pt idx="18">
                  <c:v>446</c:v>
                </c:pt>
                <c:pt idx="19">
                  <c:v>410</c:v>
                </c:pt>
                <c:pt idx="20">
                  <c:v>420</c:v>
                </c:pt>
              </c:strCache>
            </c:strRef>
          </c:cat>
          <c:val>
            <c:numRef>
              <c:f>Compositions!$F$2:$F$22</c:f>
              <c:numCache>
                <c:formatCode>General</c:formatCode>
                <c:ptCount val="21"/>
                <c:pt idx="0">
                  <c:v>29</c:v>
                </c:pt>
                <c:pt idx="1">
                  <c:v>36</c:v>
                </c:pt>
                <c:pt idx="2">
                  <c:v>74</c:v>
                </c:pt>
                <c:pt idx="3">
                  <c:v>58</c:v>
                </c:pt>
                <c:pt idx="4">
                  <c:v>50</c:v>
                </c:pt>
                <c:pt idx="14">
                  <c:v>10</c:v>
                </c:pt>
                <c:pt idx="15">
                  <c:v>14</c:v>
                </c:pt>
                <c:pt idx="16">
                  <c:v>0.75</c:v>
                </c:pt>
                <c:pt idx="17">
                  <c:v>0.75</c:v>
                </c:pt>
                <c:pt idx="18">
                  <c:v>0.5</c:v>
                </c:pt>
                <c:pt idx="19">
                  <c:v>0.75</c:v>
                </c:pt>
                <c:pt idx="2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4A-4153-86BC-E9F287719A05}"/>
            </c:ext>
          </c:extLst>
        </c:ser>
        <c:ser>
          <c:idx val="3"/>
          <c:order val="3"/>
          <c:tx>
            <c:v>Cr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Compositions!$B$2:$B$22</c:f>
              <c:strCache>
                <c:ptCount val="21"/>
                <c:pt idx="0">
                  <c:v>Kovar </c:v>
                </c:pt>
                <c:pt idx="1">
                  <c:v>36</c:v>
                </c:pt>
                <c:pt idx="2">
                  <c:v>600</c:v>
                </c:pt>
                <c:pt idx="3">
                  <c:v>625</c:v>
                </c:pt>
                <c:pt idx="4">
                  <c:v>718</c:v>
                </c:pt>
                <c:pt idx="6">
                  <c:v>1010</c:v>
                </c:pt>
                <c:pt idx="7">
                  <c:v>1020</c:v>
                </c:pt>
                <c:pt idx="8">
                  <c:v>1040</c:v>
                </c:pt>
                <c:pt idx="9">
                  <c:v>1050</c:v>
                </c:pt>
                <c:pt idx="10">
                  <c:v>1060</c:v>
                </c:pt>
                <c:pt idx="11">
                  <c:v>1070</c:v>
                </c:pt>
                <c:pt idx="12">
                  <c:v>1080</c:v>
                </c:pt>
                <c:pt idx="14">
                  <c:v>304</c:v>
                </c:pt>
                <c:pt idx="15">
                  <c:v>316</c:v>
                </c:pt>
                <c:pt idx="16">
                  <c:v>430</c:v>
                </c:pt>
                <c:pt idx="17">
                  <c:v>434</c:v>
                </c:pt>
                <c:pt idx="18">
                  <c:v>446</c:v>
                </c:pt>
                <c:pt idx="19">
                  <c:v>410</c:v>
                </c:pt>
                <c:pt idx="20">
                  <c:v>420</c:v>
                </c:pt>
              </c:strCache>
            </c:strRef>
          </c:cat>
          <c:val>
            <c:numRef>
              <c:f>Compositions!$G$2:$G$22</c:f>
              <c:numCache>
                <c:formatCode>General</c:formatCode>
                <c:ptCount val="21"/>
                <c:pt idx="2">
                  <c:v>15.5</c:v>
                </c:pt>
                <c:pt idx="3">
                  <c:v>23</c:v>
                </c:pt>
                <c:pt idx="4">
                  <c:v>19</c:v>
                </c:pt>
                <c:pt idx="14">
                  <c:v>20</c:v>
                </c:pt>
                <c:pt idx="15">
                  <c:v>18</c:v>
                </c:pt>
                <c:pt idx="16">
                  <c:v>18</c:v>
                </c:pt>
                <c:pt idx="17">
                  <c:v>19</c:v>
                </c:pt>
                <c:pt idx="18">
                  <c:v>26</c:v>
                </c:pt>
                <c:pt idx="19">
                  <c:v>13.5</c:v>
                </c:pt>
                <c:pt idx="2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4A-4153-86BC-E9F287719A05}"/>
            </c:ext>
          </c:extLst>
        </c:ser>
        <c:ser>
          <c:idx val="4"/>
          <c:order val="4"/>
          <c:tx>
            <c:v>Mb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Compositions!$B$2:$B$22</c:f>
              <c:strCache>
                <c:ptCount val="21"/>
                <c:pt idx="0">
                  <c:v>Kovar </c:v>
                </c:pt>
                <c:pt idx="1">
                  <c:v>36</c:v>
                </c:pt>
                <c:pt idx="2">
                  <c:v>600</c:v>
                </c:pt>
                <c:pt idx="3">
                  <c:v>625</c:v>
                </c:pt>
                <c:pt idx="4">
                  <c:v>718</c:v>
                </c:pt>
                <c:pt idx="6">
                  <c:v>1010</c:v>
                </c:pt>
                <c:pt idx="7">
                  <c:v>1020</c:v>
                </c:pt>
                <c:pt idx="8">
                  <c:v>1040</c:v>
                </c:pt>
                <c:pt idx="9">
                  <c:v>1050</c:v>
                </c:pt>
                <c:pt idx="10">
                  <c:v>1060</c:v>
                </c:pt>
                <c:pt idx="11">
                  <c:v>1070</c:v>
                </c:pt>
                <c:pt idx="12">
                  <c:v>1080</c:v>
                </c:pt>
                <c:pt idx="14">
                  <c:v>304</c:v>
                </c:pt>
                <c:pt idx="15">
                  <c:v>316</c:v>
                </c:pt>
                <c:pt idx="16">
                  <c:v>430</c:v>
                </c:pt>
                <c:pt idx="17">
                  <c:v>434</c:v>
                </c:pt>
                <c:pt idx="18">
                  <c:v>446</c:v>
                </c:pt>
                <c:pt idx="19">
                  <c:v>410</c:v>
                </c:pt>
                <c:pt idx="20">
                  <c:v>420</c:v>
                </c:pt>
              </c:strCache>
            </c:strRef>
          </c:cat>
          <c:val>
            <c:numRef>
              <c:f>Compositions!$H$2:$H$22</c:f>
              <c:numCache>
                <c:formatCode>General</c:formatCode>
                <c:ptCount val="21"/>
                <c:pt idx="3">
                  <c:v>10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4A-4153-86BC-E9F287719A05}"/>
            </c:ext>
          </c:extLst>
        </c:ser>
        <c:ser>
          <c:idx val="5"/>
          <c:order val="5"/>
          <c:tx>
            <c:v>Co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Compositions!$B$2:$B$22</c:f>
              <c:strCache>
                <c:ptCount val="21"/>
                <c:pt idx="0">
                  <c:v>Kovar </c:v>
                </c:pt>
                <c:pt idx="1">
                  <c:v>36</c:v>
                </c:pt>
                <c:pt idx="2">
                  <c:v>600</c:v>
                </c:pt>
                <c:pt idx="3">
                  <c:v>625</c:v>
                </c:pt>
                <c:pt idx="4">
                  <c:v>718</c:v>
                </c:pt>
                <c:pt idx="6">
                  <c:v>1010</c:v>
                </c:pt>
                <c:pt idx="7">
                  <c:v>1020</c:v>
                </c:pt>
                <c:pt idx="8">
                  <c:v>1040</c:v>
                </c:pt>
                <c:pt idx="9">
                  <c:v>1050</c:v>
                </c:pt>
                <c:pt idx="10">
                  <c:v>1060</c:v>
                </c:pt>
                <c:pt idx="11">
                  <c:v>1070</c:v>
                </c:pt>
                <c:pt idx="12">
                  <c:v>1080</c:v>
                </c:pt>
                <c:pt idx="14">
                  <c:v>304</c:v>
                </c:pt>
                <c:pt idx="15">
                  <c:v>316</c:v>
                </c:pt>
                <c:pt idx="16">
                  <c:v>430</c:v>
                </c:pt>
                <c:pt idx="17">
                  <c:v>434</c:v>
                </c:pt>
                <c:pt idx="18">
                  <c:v>446</c:v>
                </c:pt>
                <c:pt idx="19">
                  <c:v>410</c:v>
                </c:pt>
                <c:pt idx="20">
                  <c:v>420</c:v>
                </c:pt>
              </c:strCache>
            </c:strRef>
          </c:cat>
          <c:val>
            <c:numRef>
              <c:f>Compositions!$I$2:$I$22</c:f>
              <c:numCache>
                <c:formatCode>General</c:formatCode>
                <c:ptCount val="2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4A-4153-86BC-E9F287719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5980831"/>
        <c:axId val="1645995231"/>
      </c:barChart>
      <c:catAx>
        <c:axId val="164598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995231"/>
        <c:crosses val="autoZero"/>
        <c:auto val="1"/>
        <c:lblAlgn val="ctr"/>
        <c:lblOffset val="100"/>
        <c:noMultiLvlLbl val="0"/>
      </c:catAx>
      <c:valAx>
        <c:axId val="164599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98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1</xdr:row>
      <xdr:rowOff>152400</xdr:rowOff>
    </xdr:from>
    <xdr:to>
      <xdr:col>19</xdr:col>
      <xdr:colOff>523874</xdr:colOff>
      <xdr:row>16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5A958F-42E8-89A3-15E7-714F901DB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76199</xdr:colOff>
      <xdr:row>16</xdr:row>
      <xdr:rowOff>66674</xdr:rowOff>
    </xdr:from>
    <xdr:to>
      <xdr:col>19</xdr:col>
      <xdr:colOff>581024</xdr:colOff>
      <xdr:row>33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59345E-AB49-E7B3-F4CC-E9CCE50BB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0</xdr:row>
      <xdr:rowOff>0</xdr:rowOff>
    </xdr:from>
    <xdr:to>
      <xdr:col>26</xdr:col>
      <xdr:colOff>85725</xdr:colOff>
      <xdr:row>22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548FE7-5B51-6076-3481-ACB11E994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taubmfg.com/resources/ultimate-guide-types-of-stee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A694-7D2B-45B3-A712-2F417D68EEC7}">
  <dimension ref="A1:N38"/>
  <sheetViews>
    <sheetView zoomScaleNormal="100" workbookViewId="0">
      <selection activeCell="F29" sqref="F29"/>
    </sheetView>
  </sheetViews>
  <sheetFormatPr defaultRowHeight="15" x14ac:dyDescent="0.25"/>
  <cols>
    <col min="1" max="1" width="12.5703125" customWidth="1"/>
    <col min="2" max="2" width="36.85546875" bestFit="1" customWidth="1"/>
    <col min="3" max="3" width="15.140625" style="2" bestFit="1" customWidth="1"/>
    <col min="4" max="4" width="9.5703125" style="2" customWidth="1"/>
    <col min="5" max="5" width="15.42578125" style="2" customWidth="1"/>
    <col min="6" max="7" width="14.28515625" style="2" customWidth="1"/>
    <col min="8" max="8" width="12.5703125" style="16" bestFit="1" customWidth="1"/>
    <col min="9" max="9" width="18.28515625" style="16" bestFit="1" customWidth="1"/>
    <col min="10" max="10" width="13.42578125" style="16" customWidth="1"/>
    <col min="11" max="11" width="16.140625" style="9" customWidth="1"/>
    <col min="12" max="12" width="10.85546875" customWidth="1"/>
    <col min="13" max="13" width="37.7109375" bestFit="1" customWidth="1"/>
    <col min="14" max="14" width="21.140625" customWidth="1"/>
  </cols>
  <sheetData>
    <row r="1" spans="1:14" s="1" customFormat="1" ht="45" x14ac:dyDescent="0.25">
      <c r="A1" s="1" t="s">
        <v>206</v>
      </c>
      <c r="B1" s="1" t="s">
        <v>208</v>
      </c>
      <c r="C1" s="27" t="s">
        <v>4</v>
      </c>
      <c r="D1" s="28" t="s">
        <v>5</v>
      </c>
      <c r="E1" s="24" t="s">
        <v>7</v>
      </c>
      <c r="F1" s="24" t="s">
        <v>6</v>
      </c>
      <c r="G1" s="24" t="s">
        <v>29</v>
      </c>
      <c r="H1" s="25" t="s">
        <v>10</v>
      </c>
      <c r="I1" s="25" t="s">
        <v>13</v>
      </c>
      <c r="J1" s="25" t="s">
        <v>14</v>
      </c>
      <c r="K1" s="26" t="s">
        <v>32</v>
      </c>
      <c r="L1" s="4" t="s">
        <v>192</v>
      </c>
      <c r="M1" s="4" t="s">
        <v>229</v>
      </c>
      <c r="N1" s="1" t="s">
        <v>22</v>
      </c>
    </row>
    <row r="2" spans="1:14" x14ac:dyDescent="0.25">
      <c r="A2" s="21" t="s">
        <v>0</v>
      </c>
      <c r="B2" t="s">
        <v>2</v>
      </c>
      <c r="C2" s="2">
        <v>3.95</v>
      </c>
      <c r="D2" s="15">
        <v>9</v>
      </c>
      <c r="E2" s="2" t="s">
        <v>8</v>
      </c>
      <c r="F2" s="2" t="s">
        <v>9</v>
      </c>
      <c r="G2" s="2">
        <v>350</v>
      </c>
      <c r="H2" s="18">
        <v>25</v>
      </c>
      <c r="I2" s="16" t="s">
        <v>12</v>
      </c>
      <c r="J2" s="17">
        <v>2050</v>
      </c>
      <c r="K2" s="10" t="s">
        <v>35</v>
      </c>
      <c r="M2" t="s">
        <v>232</v>
      </c>
      <c r="N2" s="6" t="s">
        <v>24</v>
      </c>
    </row>
    <row r="3" spans="1:14" x14ac:dyDescent="0.25">
      <c r="A3" s="21" t="s">
        <v>0</v>
      </c>
      <c r="B3" t="s">
        <v>1</v>
      </c>
      <c r="C3" s="2">
        <v>3.21</v>
      </c>
      <c r="D3" s="15">
        <v>9</v>
      </c>
      <c r="E3" s="2" t="s">
        <v>17</v>
      </c>
      <c r="F3" s="2" t="s">
        <v>18</v>
      </c>
      <c r="G3" s="2">
        <v>375</v>
      </c>
      <c r="H3" s="18">
        <v>180</v>
      </c>
      <c r="I3" s="16" t="s">
        <v>20</v>
      </c>
      <c r="J3" s="17">
        <v>2700</v>
      </c>
      <c r="K3" s="10" t="s">
        <v>34</v>
      </c>
      <c r="M3" t="s">
        <v>232</v>
      </c>
      <c r="N3" s="6" t="s">
        <v>23</v>
      </c>
    </row>
    <row r="4" spans="1:14" x14ac:dyDescent="0.25">
      <c r="A4" s="21" t="s">
        <v>0</v>
      </c>
      <c r="B4" t="s">
        <v>3</v>
      </c>
      <c r="C4" s="2">
        <v>6</v>
      </c>
      <c r="D4" s="15">
        <v>7</v>
      </c>
      <c r="E4" s="2" t="s">
        <v>18</v>
      </c>
      <c r="F4" s="2" t="s">
        <v>25</v>
      </c>
      <c r="G4" s="2">
        <v>250</v>
      </c>
      <c r="H4" s="19">
        <v>2.5</v>
      </c>
      <c r="I4" s="16" t="s">
        <v>27</v>
      </c>
      <c r="J4" s="17">
        <v>2700</v>
      </c>
      <c r="K4" s="9" t="s">
        <v>33</v>
      </c>
      <c r="M4" t="s">
        <v>232</v>
      </c>
      <c r="N4" s="6" t="s">
        <v>28</v>
      </c>
    </row>
    <row r="5" spans="1:14" x14ac:dyDescent="0.25">
      <c r="B5" s="1"/>
      <c r="D5" s="15"/>
      <c r="H5" s="18"/>
      <c r="J5" s="17"/>
    </row>
    <row r="6" spans="1:14" x14ac:dyDescent="0.25">
      <c r="A6" s="22" t="s">
        <v>37</v>
      </c>
      <c r="B6" t="s">
        <v>36</v>
      </c>
      <c r="C6" s="2" t="s">
        <v>40</v>
      </c>
      <c r="D6" s="15"/>
      <c r="E6" s="2" t="s">
        <v>55</v>
      </c>
      <c r="F6" s="2" t="s">
        <v>41</v>
      </c>
      <c r="G6" s="13">
        <v>175</v>
      </c>
      <c r="H6" s="19">
        <v>10</v>
      </c>
      <c r="I6" s="16" t="s">
        <v>54</v>
      </c>
      <c r="J6" s="17">
        <v>350</v>
      </c>
      <c r="K6" s="9" t="s">
        <v>46</v>
      </c>
      <c r="N6" t="s">
        <v>58</v>
      </c>
    </row>
    <row r="7" spans="1:14" x14ac:dyDescent="0.25">
      <c r="A7" s="22" t="s">
        <v>37</v>
      </c>
      <c r="B7" t="s">
        <v>38</v>
      </c>
      <c r="C7" s="2" t="s">
        <v>47</v>
      </c>
      <c r="D7" s="15"/>
      <c r="E7" s="2" t="s">
        <v>8</v>
      </c>
      <c r="F7" s="2" t="s">
        <v>8</v>
      </c>
      <c r="G7" s="13">
        <v>40</v>
      </c>
      <c r="H7" s="18">
        <v>0.5</v>
      </c>
      <c r="I7" s="16" t="s">
        <v>12</v>
      </c>
      <c r="J7" s="17">
        <v>250</v>
      </c>
      <c r="K7" s="9" t="s">
        <v>33</v>
      </c>
      <c r="N7" t="s">
        <v>57</v>
      </c>
    </row>
    <row r="8" spans="1:14" x14ac:dyDescent="0.25">
      <c r="A8" s="22" t="s">
        <v>37</v>
      </c>
      <c r="B8" t="s">
        <v>39</v>
      </c>
      <c r="C8" s="2" t="s">
        <v>48</v>
      </c>
      <c r="D8" s="15"/>
      <c r="E8" s="2" t="s">
        <v>8</v>
      </c>
      <c r="F8" s="2" t="s">
        <v>17</v>
      </c>
      <c r="G8" s="13">
        <v>80</v>
      </c>
      <c r="H8" s="18">
        <v>0.2</v>
      </c>
      <c r="I8" s="16" t="s">
        <v>209</v>
      </c>
      <c r="J8" s="17">
        <v>450</v>
      </c>
      <c r="K8" s="9" t="s">
        <v>53</v>
      </c>
      <c r="N8" t="s">
        <v>59</v>
      </c>
    </row>
    <row r="9" spans="1:14" x14ac:dyDescent="0.25">
      <c r="D9" s="15"/>
      <c r="H9" s="18"/>
      <c r="J9" s="17"/>
    </row>
    <row r="10" spans="1:14" x14ac:dyDescent="0.25">
      <c r="A10" s="23" t="s">
        <v>62</v>
      </c>
      <c r="B10" t="s">
        <v>63</v>
      </c>
      <c r="C10" s="2">
        <v>1.74</v>
      </c>
      <c r="D10" s="15">
        <v>3</v>
      </c>
      <c r="E10" s="2" t="s">
        <v>30</v>
      </c>
      <c r="F10" s="2" t="s">
        <v>65</v>
      </c>
      <c r="G10" s="2">
        <v>45</v>
      </c>
      <c r="H10" s="18">
        <v>156</v>
      </c>
      <c r="I10" s="16" t="s">
        <v>66</v>
      </c>
      <c r="J10" s="17">
        <v>650</v>
      </c>
      <c r="K10" s="9" t="s">
        <v>67</v>
      </c>
      <c r="M10" t="s">
        <v>233</v>
      </c>
      <c r="N10" t="s">
        <v>68</v>
      </c>
    </row>
    <row r="11" spans="1:14" x14ac:dyDescent="0.25">
      <c r="A11" s="23" t="s">
        <v>62</v>
      </c>
      <c r="B11" t="s">
        <v>69</v>
      </c>
      <c r="C11" s="2">
        <v>4.51</v>
      </c>
      <c r="D11" s="15">
        <v>4.5</v>
      </c>
      <c r="E11" s="2" t="s">
        <v>73</v>
      </c>
      <c r="F11" s="2" t="s">
        <v>80</v>
      </c>
      <c r="G11" s="2">
        <v>115</v>
      </c>
      <c r="H11" s="18">
        <v>20</v>
      </c>
      <c r="I11" s="16" t="s">
        <v>72</v>
      </c>
      <c r="J11" s="17">
        <v>1668</v>
      </c>
      <c r="K11" s="9" t="s">
        <v>74</v>
      </c>
      <c r="N11" t="s">
        <v>84</v>
      </c>
    </row>
    <row r="12" spans="1:14" x14ac:dyDescent="0.25">
      <c r="A12" s="23" t="s">
        <v>62</v>
      </c>
      <c r="B12" t="s">
        <v>75</v>
      </c>
      <c r="C12" s="2">
        <v>7.87</v>
      </c>
      <c r="D12" s="15">
        <v>4.5</v>
      </c>
      <c r="E12" s="2" t="s">
        <v>81</v>
      </c>
      <c r="F12" s="2" t="s">
        <v>77</v>
      </c>
      <c r="G12" s="2">
        <v>210</v>
      </c>
      <c r="H12" s="18">
        <v>90</v>
      </c>
      <c r="I12" s="16" t="s">
        <v>179</v>
      </c>
      <c r="J12" s="17">
        <v>1538</v>
      </c>
      <c r="K12" s="9" t="s">
        <v>82</v>
      </c>
      <c r="N12" t="s">
        <v>83</v>
      </c>
    </row>
    <row r="13" spans="1:14" x14ac:dyDescent="0.25">
      <c r="A13" s="23" t="s">
        <v>62</v>
      </c>
      <c r="B13" t="s">
        <v>85</v>
      </c>
      <c r="C13" s="2">
        <v>8.9</v>
      </c>
      <c r="D13" s="15">
        <v>4.5</v>
      </c>
      <c r="E13" s="2" t="s">
        <v>17</v>
      </c>
      <c r="F13" s="2" t="s">
        <v>86</v>
      </c>
      <c r="G13" s="2">
        <v>200</v>
      </c>
      <c r="H13" s="18">
        <v>90</v>
      </c>
      <c r="I13" s="16" t="s">
        <v>87</v>
      </c>
      <c r="J13" s="17">
        <v>1455</v>
      </c>
      <c r="K13" s="9" t="s">
        <v>88</v>
      </c>
      <c r="N13" t="s">
        <v>89</v>
      </c>
    </row>
    <row r="14" spans="1:14" x14ac:dyDescent="0.25">
      <c r="A14" s="23" t="s">
        <v>62</v>
      </c>
      <c r="B14" t="s">
        <v>90</v>
      </c>
      <c r="C14" s="2">
        <v>8.9600000000000009</v>
      </c>
      <c r="D14" s="15">
        <v>3</v>
      </c>
      <c r="E14" s="2" t="s">
        <v>93</v>
      </c>
      <c r="F14" s="2" t="s">
        <v>91</v>
      </c>
      <c r="G14" s="2">
        <v>120</v>
      </c>
      <c r="H14" s="18">
        <v>390</v>
      </c>
      <c r="I14" s="16" t="s">
        <v>95</v>
      </c>
      <c r="J14" s="17">
        <v>1085</v>
      </c>
      <c r="K14" s="9" t="s">
        <v>94</v>
      </c>
      <c r="N14" t="s">
        <v>96</v>
      </c>
    </row>
    <row r="15" spans="1:14" x14ac:dyDescent="0.25">
      <c r="A15" s="23" t="s">
        <v>62</v>
      </c>
      <c r="B15" t="s">
        <v>97</v>
      </c>
      <c r="C15" s="2">
        <v>7.14</v>
      </c>
      <c r="D15" s="15">
        <v>2.5</v>
      </c>
      <c r="E15" s="2" t="s">
        <v>18</v>
      </c>
      <c r="F15" s="2" t="s">
        <v>8</v>
      </c>
      <c r="G15" s="2">
        <v>100</v>
      </c>
      <c r="H15" s="18">
        <v>120</v>
      </c>
      <c r="I15" s="16" t="s">
        <v>98</v>
      </c>
      <c r="J15" s="17">
        <v>419</v>
      </c>
      <c r="K15" s="9" t="s">
        <v>99</v>
      </c>
      <c r="N15" t="s">
        <v>100</v>
      </c>
    </row>
    <row r="16" spans="1:14" x14ac:dyDescent="0.25">
      <c r="A16" s="23" t="s">
        <v>62</v>
      </c>
      <c r="B16" t="s">
        <v>101</v>
      </c>
      <c r="C16" s="2">
        <v>2.7</v>
      </c>
      <c r="D16" s="15">
        <v>2.5</v>
      </c>
      <c r="E16" s="2" t="s">
        <v>18</v>
      </c>
      <c r="F16" s="2" t="s">
        <v>103</v>
      </c>
      <c r="G16" s="2">
        <v>70</v>
      </c>
      <c r="H16" s="18">
        <v>205</v>
      </c>
      <c r="I16" s="16" t="s">
        <v>104</v>
      </c>
      <c r="J16" s="17">
        <v>660</v>
      </c>
      <c r="K16" s="9" t="s">
        <v>67</v>
      </c>
      <c r="N16" t="s">
        <v>105</v>
      </c>
    </row>
    <row r="17" spans="1:14" x14ac:dyDescent="0.25">
      <c r="A17" s="23" t="s">
        <v>62</v>
      </c>
      <c r="B17" t="s">
        <v>102</v>
      </c>
      <c r="C17" s="2">
        <v>11.34</v>
      </c>
      <c r="D17" s="15">
        <v>2</v>
      </c>
      <c r="E17" s="2" t="s">
        <v>11</v>
      </c>
      <c r="F17" s="2" t="s">
        <v>106</v>
      </c>
      <c r="G17" s="2">
        <v>14</v>
      </c>
      <c r="H17" s="18">
        <v>35</v>
      </c>
      <c r="I17" s="16" t="s">
        <v>107</v>
      </c>
      <c r="J17" s="17">
        <v>327</v>
      </c>
      <c r="K17" s="9" t="s">
        <v>108</v>
      </c>
    </row>
    <row r="18" spans="1:14" x14ac:dyDescent="0.25">
      <c r="A18" s="1"/>
      <c r="D18" s="15"/>
      <c r="H18" s="18"/>
      <c r="J18" s="17"/>
    </row>
    <row r="19" spans="1:14" x14ac:dyDescent="0.25">
      <c r="A19" s="23" t="s">
        <v>62</v>
      </c>
      <c r="B19" t="s">
        <v>110</v>
      </c>
      <c r="C19" s="2">
        <v>1.85</v>
      </c>
      <c r="D19" s="15">
        <v>5.5</v>
      </c>
      <c r="E19" s="2" t="s">
        <v>17</v>
      </c>
      <c r="F19" s="2" t="s">
        <v>8</v>
      </c>
      <c r="G19" s="2">
        <v>287</v>
      </c>
      <c r="H19" s="18">
        <v>200</v>
      </c>
      <c r="I19" s="16" t="s">
        <v>111</v>
      </c>
      <c r="J19" s="17">
        <v>1287</v>
      </c>
      <c r="K19" s="9" t="s">
        <v>112</v>
      </c>
      <c r="M19" t="s">
        <v>279</v>
      </c>
      <c r="N19" t="s">
        <v>113</v>
      </c>
    </row>
    <row r="20" spans="1:14" x14ac:dyDescent="0.25">
      <c r="A20" s="23" t="s">
        <v>62</v>
      </c>
      <c r="B20" t="s">
        <v>114</v>
      </c>
      <c r="C20" s="2">
        <v>7.19</v>
      </c>
      <c r="D20" s="15">
        <v>8.5</v>
      </c>
      <c r="E20" s="2" t="s">
        <v>116</v>
      </c>
      <c r="F20" s="2" t="s">
        <v>17</v>
      </c>
      <c r="G20" s="2">
        <v>240</v>
      </c>
      <c r="H20" s="18">
        <v>93</v>
      </c>
      <c r="I20" s="16" t="s">
        <v>115</v>
      </c>
      <c r="J20" s="17">
        <v>1907</v>
      </c>
      <c r="K20" s="9" t="s">
        <v>117</v>
      </c>
      <c r="N20" t="s">
        <v>118</v>
      </c>
    </row>
    <row r="21" spans="1:14" x14ac:dyDescent="0.25">
      <c r="A21" s="23" t="s">
        <v>62</v>
      </c>
      <c r="B21" t="s">
        <v>119</v>
      </c>
      <c r="C21" s="2">
        <v>19.32</v>
      </c>
      <c r="D21" s="15">
        <v>2.75</v>
      </c>
      <c r="E21" s="2" t="s">
        <v>122</v>
      </c>
      <c r="F21" s="2" t="s">
        <v>120</v>
      </c>
      <c r="G21" s="2">
        <v>79</v>
      </c>
      <c r="H21" s="18">
        <v>315</v>
      </c>
      <c r="I21" s="16" t="s">
        <v>121</v>
      </c>
      <c r="J21" s="17">
        <v>1064</v>
      </c>
      <c r="K21" s="9" t="s">
        <v>123</v>
      </c>
      <c r="N21" t="s">
        <v>124</v>
      </c>
    </row>
    <row r="22" spans="1:14" x14ac:dyDescent="0.25">
      <c r="A22" s="23" t="s">
        <v>62</v>
      </c>
      <c r="B22" t="s">
        <v>125</v>
      </c>
      <c r="C22" s="2">
        <v>10.220000000000001</v>
      </c>
      <c r="D22" s="15">
        <v>5.5</v>
      </c>
      <c r="E22" s="2" t="s">
        <v>17</v>
      </c>
      <c r="F22" s="2" t="s">
        <v>127</v>
      </c>
      <c r="G22" s="2">
        <v>330</v>
      </c>
      <c r="H22" s="18">
        <v>138</v>
      </c>
      <c r="I22" s="16" t="s">
        <v>128</v>
      </c>
      <c r="J22" s="17">
        <v>2623</v>
      </c>
      <c r="K22" s="9" t="s">
        <v>129</v>
      </c>
      <c r="N22" t="s">
        <v>130</v>
      </c>
    </row>
    <row r="23" spans="1:14" x14ac:dyDescent="0.25">
      <c r="A23" s="23" t="s">
        <v>62</v>
      </c>
      <c r="B23" t="s">
        <v>131</v>
      </c>
      <c r="C23" s="2">
        <v>10.49</v>
      </c>
      <c r="D23" s="15">
        <v>2.5</v>
      </c>
      <c r="E23" s="2" t="s">
        <v>122</v>
      </c>
      <c r="F23" s="2" t="s">
        <v>18</v>
      </c>
      <c r="G23" s="2">
        <v>70</v>
      </c>
      <c r="H23" s="18">
        <v>429</v>
      </c>
      <c r="I23" s="16" t="s">
        <v>132</v>
      </c>
      <c r="J23" s="17">
        <v>961</v>
      </c>
      <c r="K23" s="9" t="s">
        <v>133</v>
      </c>
    </row>
    <row r="24" spans="1:14" x14ac:dyDescent="0.25">
      <c r="A24" s="23" t="s">
        <v>62</v>
      </c>
      <c r="B24" t="s">
        <v>167</v>
      </c>
      <c r="C24" s="2">
        <v>19.25</v>
      </c>
      <c r="D24" s="15">
        <v>7.5</v>
      </c>
      <c r="E24" s="2">
        <v>2000</v>
      </c>
      <c r="F24" s="2">
        <v>1510</v>
      </c>
      <c r="G24" s="2">
        <v>400</v>
      </c>
      <c r="H24" s="18">
        <v>173</v>
      </c>
      <c r="I24" s="16" t="s">
        <v>164</v>
      </c>
      <c r="J24" s="17">
        <v>3422</v>
      </c>
      <c r="K24" s="9" t="s">
        <v>74</v>
      </c>
      <c r="N24" t="s">
        <v>173</v>
      </c>
    </row>
    <row r="25" spans="1:14" x14ac:dyDescent="0.25">
      <c r="A25" s="23" t="s">
        <v>62</v>
      </c>
      <c r="B25" t="s">
        <v>166</v>
      </c>
      <c r="C25" s="2">
        <v>6.11</v>
      </c>
      <c r="D25" s="15">
        <v>6</v>
      </c>
      <c r="E25" s="2" t="s">
        <v>165</v>
      </c>
      <c r="F25" s="2" t="s">
        <v>17</v>
      </c>
      <c r="G25" s="2">
        <v>130</v>
      </c>
      <c r="H25" s="18">
        <v>30</v>
      </c>
      <c r="I25" s="16" t="s">
        <v>168</v>
      </c>
      <c r="J25" s="17">
        <v>1910</v>
      </c>
      <c r="K25" s="9" t="s">
        <v>129</v>
      </c>
      <c r="N25" t="s">
        <v>172</v>
      </c>
    </row>
    <row r="26" spans="1:14" x14ac:dyDescent="0.25">
      <c r="A26" s="23" t="s">
        <v>62</v>
      </c>
      <c r="B26" t="s">
        <v>160</v>
      </c>
      <c r="C26" s="2">
        <v>8.9</v>
      </c>
      <c r="D26" s="15">
        <v>5</v>
      </c>
      <c r="E26" s="2" t="s">
        <v>116</v>
      </c>
      <c r="F26" s="2" t="s">
        <v>169</v>
      </c>
      <c r="G26" s="2">
        <v>210</v>
      </c>
      <c r="H26" s="18">
        <v>100</v>
      </c>
      <c r="I26" s="16" t="s">
        <v>170</v>
      </c>
      <c r="J26" s="17">
        <v>1495</v>
      </c>
      <c r="K26" s="9" t="s">
        <v>74</v>
      </c>
      <c r="N26" t="s">
        <v>171</v>
      </c>
    </row>
    <row r="27" spans="1:14" x14ac:dyDescent="0.25">
      <c r="D27" s="15"/>
      <c r="H27" s="18"/>
      <c r="J27" s="17"/>
    </row>
    <row r="28" spans="1:14" x14ac:dyDescent="0.25">
      <c r="A28" s="23" t="s">
        <v>207</v>
      </c>
      <c r="B28" t="s">
        <v>134</v>
      </c>
      <c r="C28" s="2">
        <v>8.4</v>
      </c>
      <c r="D28" s="15">
        <v>5.5</v>
      </c>
      <c r="E28" s="2" t="s">
        <v>116</v>
      </c>
      <c r="F28" s="2" t="s">
        <v>17</v>
      </c>
      <c r="G28" s="2">
        <v>200</v>
      </c>
      <c r="H28" s="18">
        <v>18</v>
      </c>
      <c r="I28" s="16" t="s">
        <v>147</v>
      </c>
      <c r="J28" s="17">
        <v>1425</v>
      </c>
      <c r="K28" s="9" t="s">
        <v>148</v>
      </c>
      <c r="M28" t="s">
        <v>276</v>
      </c>
      <c r="N28" t="s">
        <v>277</v>
      </c>
    </row>
    <row r="29" spans="1:14" x14ac:dyDescent="0.25">
      <c r="A29" s="23" t="s">
        <v>207</v>
      </c>
      <c r="B29" t="s">
        <v>135</v>
      </c>
      <c r="C29" s="2">
        <v>8</v>
      </c>
      <c r="D29" s="15">
        <v>4.5</v>
      </c>
      <c r="E29" s="2" t="s">
        <v>17</v>
      </c>
      <c r="F29" s="2" t="s">
        <v>55</v>
      </c>
      <c r="G29" s="2">
        <v>145</v>
      </c>
      <c r="H29" s="20">
        <v>15</v>
      </c>
      <c r="I29" s="16" t="s">
        <v>180</v>
      </c>
      <c r="J29" s="17">
        <v>1430</v>
      </c>
      <c r="K29" s="9" t="s">
        <v>145</v>
      </c>
      <c r="M29" t="s">
        <v>230</v>
      </c>
      <c r="N29" t="s">
        <v>150</v>
      </c>
    </row>
    <row r="30" spans="1:14" x14ac:dyDescent="0.25">
      <c r="A30" s="23" t="s">
        <v>207</v>
      </c>
      <c r="B30" t="s">
        <v>136</v>
      </c>
      <c r="C30" s="2">
        <v>8.44</v>
      </c>
      <c r="D30" s="15">
        <v>5.5</v>
      </c>
      <c r="E30" s="2" t="s">
        <v>139</v>
      </c>
      <c r="F30" s="2" t="s">
        <v>140</v>
      </c>
      <c r="G30" s="2">
        <v>200</v>
      </c>
      <c r="H30" s="18">
        <v>20</v>
      </c>
      <c r="I30" s="16" t="s">
        <v>143</v>
      </c>
      <c r="J30" s="17">
        <v>1300</v>
      </c>
      <c r="K30" s="9" t="s">
        <v>144</v>
      </c>
      <c r="M30" t="s">
        <v>231</v>
      </c>
      <c r="N30" t="s">
        <v>151</v>
      </c>
    </row>
    <row r="31" spans="1:14" x14ac:dyDescent="0.25">
      <c r="A31" s="23" t="s">
        <v>207</v>
      </c>
      <c r="B31" t="s">
        <v>163</v>
      </c>
      <c r="C31" s="2">
        <v>7.85</v>
      </c>
      <c r="D31" s="15">
        <v>4.5</v>
      </c>
      <c r="E31" s="2" t="s">
        <v>81</v>
      </c>
      <c r="F31" s="2" t="s">
        <v>177</v>
      </c>
      <c r="G31" s="2">
        <v>200</v>
      </c>
      <c r="H31" s="18">
        <v>55</v>
      </c>
      <c r="I31" s="16" t="s">
        <v>179</v>
      </c>
      <c r="J31" s="17">
        <v>1500</v>
      </c>
      <c r="K31" s="9" t="s">
        <v>82</v>
      </c>
      <c r="N31" t="s">
        <v>182</v>
      </c>
    </row>
    <row r="32" spans="1:14" x14ac:dyDescent="0.25">
      <c r="A32" s="23" t="s">
        <v>207</v>
      </c>
      <c r="B32" t="s">
        <v>161</v>
      </c>
      <c r="C32" s="2">
        <v>7.85</v>
      </c>
      <c r="D32" s="15">
        <v>5.5</v>
      </c>
      <c r="E32" s="2" t="s">
        <v>55</v>
      </c>
      <c r="F32" s="2" t="s">
        <v>183</v>
      </c>
      <c r="G32" s="2">
        <v>200</v>
      </c>
      <c r="H32" s="18">
        <v>45</v>
      </c>
      <c r="I32" s="16" t="s">
        <v>179</v>
      </c>
      <c r="J32" s="17">
        <v>1500</v>
      </c>
      <c r="K32" s="9" t="s">
        <v>176</v>
      </c>
      <c r="N32" t="s">
        <v>188</v>
      </c>
    </row>
    <row r="33" spans="1:14" x14ac:dyDescent="0.25">
      <c r="A33" s="23" t="s">
        <v>207</v>
      </c>
      <c r="B33" t="s">
        <v>162</v>
      </c>
      <c r="C33" s="2">
        <v>7.85</v>
      </c>
      <c r="D33" s="15">
        <v>6.5</v>
      </c>
      <c r="E33" s="2" t="s">
        <v>185</v>
      </c>
      <c r="F33" s="2" t="s">
        <v>140</v>
      </c>
      <c r="G33" s="2">
        <v>200</v>
      </c>
      <c r="H33" s="18">
        <v>45</v>
      </c>
      <c r="I33" s="16" t="s">
        <v>179</v>
      </c>
      <c r="J33" s="17">
        <v>1500</v>
      </c>
      <c r="K33" s="9" t="s">
        <v>175</v>
      </c>
      <c r="N33" t="s">
        <v>187</v>
      </c>
    </row>
    <row r="34" spans="1:14" x14ac:dyDescent="0.25">
      <c r="A34" s="23" t="s">
        <v>155</v>
      </c>
      <c r="B34" t="s">
        <v>154</v>
      </c>
      <c r="C34" s="2">
        <v>7.93</v>
      </c>
      <c r="D34" s="15">
        <v>2.5</v>
      </c>
      <c r="E34" s="2" t="s">
        <v>18</v>
      </c>
      <c r="F34" s="2" t="s">
        <v>190</v>
      </c>
      <c r="G34" s="2">
        <v>200</v>
      </c>
      <c r="H34" s="18">
        <v>20</v>
      </c>
      <c r="I34" s="16" t="s">
        <v>194</v>
      </c>
      <c r="J34" s="17">
        <v>1425</v>
      </c>
      <c r="K34" s="10" t="s">
        <v>196</v>
      </c>
      <c r="L34" t="s">
        <v>191</v>
      </c>
      <c r="N34" t="s">
        <v>205</v>
      </c>
    </row>
    <row r="35" spans="1:14" x14ac:dyDescent="0.25">
      <c r="A35" s="23" t="s">
        <v>155</v>
      </c>
      <c r="B35" t="s">
        <v>189</v>
      </c>
      <c r="C35" s="2">
        <v>7.7</v>
      </c>
      <c r="D35" s="15">
        <v>4.5</v>
      </c>
      <c r="E35" s="2" t="s">
        <v>81</v>
      </c>
      <c r="F35" s="2" t="s">
        <v>55</v>
      </c>
      <c r="G35" s="2">
        <v>200</v>
      </c>
      <c r="H35" s="18">
        <v>30</v>
      </c>
      <c r="I35" s="16" t="s">
        <v>199</v>
      </c>
      <c r="J35" s="17">
        <v>1450</v>
      </c>
      <c r="K35" s="10" t="s">
        <v>99</v>
      </c>
      <c r="L35" t="s">
        <v>197</v>
      </c>
      <c r="N35" t="s">
        <v>204</v>
      </c>
    </row>
    <row r="36" spans="1:14" x14ac:dyDescent="0.25">
      <c r="A36" s="23" t="s">
        <v>155</v>
      </c>
      <c r="B36" t="s">
        <v>156</v>
      </c>
      <c r="C36" s="2">
        <v>7.7</v>
      </c>
      <c r="D36" s="15">
        <v>5.5</v>
      </c>
      <c r="E36" s="2" t="s">
        <v>116</v>
      </c>
      <c r="F36" s="2" t="s">
        <v>201</v>
      </c>
      <c r="G36" s="2">
        <v>200</v>
      </c>
      <c r="H36" s="18">
        <v>30</v>
      </c>
      <c r="I36" s="16" t="s">
        <v>199</v>
      </c>
      <c r="J36" s="17">
        <v>1425</v>
      </c>
      <c r="K36" s="10" t="s">
        <v>196</v>
      </c>
      <c r="L36" s="5" t="s">
        <v>202</v>
      </c>
      <c r="M36" s="5"/>
      <c r="N36" s="6" t="s">
        <v>203</v>
      </c>
    </row>
    <row r="37" spans="1:14" x14ac:dyDescent="0.25">
      <c r="H37" s="18"/>
    </row>
    <row r="38" spans="1:14" x14ac:dyDescent="0.25">
      <c r="H38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2301-6763-400D-8886-1C956C880B19}">
  <dimension ref="A1:N41"/>
  <sheetViews>
    <sheetView topLeftCell="C1" zoomScaleNormal="100" workbookViewId="0">
      <selection activeCell="G2" sqref="G2:H2"/>
    </sheetView>
  </sheetViews>
  <sheetFormatPr defaultRowHeight="15" x14ac:dyDescent="0.25"/>
  <cols>
    <col min="1" max="1" width="12.5703125" customWidth="1"/>
    <col min="2" max="2" width="36.85546875" bestFit="1" customWidth="1"/>
    <col min="3" max="3" width="15.140625" style="2" bestFit="1" customWidth="1"/>
    <col min="4" max="4" width="15.42578125" customWidth="1"/>
    <col min="5" max="6" width="14.28515625" customWidth="1"/>
    <col min="7" max="7" width="12.5703125" style="5" bestFit="1" customWidth="1"/>
    <col min="8" max="8" width="18.28515625" style="5" bestFit="1" customWidth="1"/>
    <col min="9" max="9" width="13.42578125" style="5" customWidth="1"/>
    <col min="10" max="10" width="12.85546875" customWidth="1"/>
    <col min="11" max="11" width="9.5703125" style="2" customWidth="1"/>
    <col min="12" max="12" width="16.140625" customWidth="1"/>
    <col min="13" max="13" width="10.85546875" customWidth="1"/>
    <col min="14" max="14" width="21.140625" customWidth="1"/>
  </cols>
  <sheetData>
    <row r="1" spans="1:14" x14ac:dyDescent="0.25">
      <c r="A1" t="s">
        <v>206</v>
      </c>
    </row>
    <row r="2" spans="1:14" s="1" customFormat="1" ht="45" x14ac:dyDescent="0.25">
      <c r="B2" s="1" t="s">
        <v>0</v>
      </c>
      <c r="C2" s="3" t="s">
        <v>4</v>
      </c>
      <c r="D2" s="4" t="s">
        <v>7</v>
      </c>
      <c r="E2" s="4" t="s">
        <v>6</v>
      </c>
      <c r="F2" s="4" t="s">
        <v>29</v>
      </c>
      <c r="G2" s="4" t="s">
        <v>10</v>
      </c>
      <c r="H2" s="4" t="s">
        <v>13</v>
      </c>
      <c r="I2" s="4" t="s">
        <v>14</v>
      </c>
      <c r="J2" s="4" t="s">
        <v>15</v>
      </c>
      <c r="K2" s="8" t="s">
        <v>5</v>
      </c>
      <c r="L2" s="4" t="s">
        <v>32</v>
      </c>
      <c r="M2" s="4" t="s">
        <v>192</v>
      </c>
      <c r="N2" s="1" t="s">
        <v>22</v>
      </c>
    </row>
    <row r="3" spans="1:14" x14ac:dyDescent="0.25">
      <c r="A3" s="1" t="s">
        <v>0</v>
      </c>
      <c r="B3" t="s">
        <v>2</v>
      </c>
      <c r="C3" s="2">
        <v>3.95</v>
      </c>
      <c r="D3" t="s">
        <v>8</v>
      </c>
      <c r="E3" t="s">
        <v>9</v>
      </c>
      <c r="F3" s="9" t="s">
        <v>30</v>
      </c>
      <c r="G3" s="5" t="s">
        <v>11</v>
      </c>
      <c r="H3" s="5" t="s">
        <v>12</v>
      </c>
      <c r="I3" s="5">
        <v>2050</v>
      </c>
      <c r="J3" s="5" t="s">
        <v>16</v>
      </c>
      <c r="K3" s="2">
        <v>9</v>
      </c>
      <c r="L3" s="5" t="s">
        <v>35</v>
      </c>
      <c r="N3" s="6" t="s">
        <v>24</v>
      </c>
    </row>
    <row r="4" spans="1:14" x14ac:dyDescent="0.25">
      <c r="A4" s="1" t="s">
        <v>0</v>
      </c>
      <c r="B4" t="s">
        <v>1</v>
      </c>
      <c r="C4" s="2">
        <v>3.21</v>
      </c>
      <c r="D4" t="s">
        <v>17</v>
      </c>
      <c r="E4" t="s">
        <v>18</v>
      </c>
      <c r="F4" s="9" t="s">
        <v>31</v>
      </c>
      <c r="G4" s="5" t="s">
        <v>19</v>
      </c>
      <c r="H4" s="5" t="s">
        <v>20</v>
      </c>
      <c r="I4" s="5">
        <v>2700</v>
      </c>
      <c r="J4" s="5" t="s">
        <v>21</v>
      </c>
      <c r="K4" s="2">
        <v>9</v>
      </c>
      <c r="L4" s="5" t="s">
        <v>34</v>
      </c>
      <c r="N4" s="6" t="s">
        <v>23</v>
      </c>
    </row>
    <row r="5" spans="1:14" x14ac:dyDescent="0.25">
      <c r="A5" s="1" t="s">
        <v>0</v>
      </c>
      <c r="B5" t="s">
        <v>3</v>
      </c>
      <c r="C5" s="2">
        <v>6</v>
      </c>
      <c r="D5" t="s">
        <v>18</v>
      </c>
      <c r="E5" t="s">
        <v>25</v>
      </c>
      <c r="F5" s="9" t="s">
        <v>18</v>
      </c>
      <c r="G5" s="7" t="s">
        <v>26</v>
      </c>
      <c r="H5" s="5" t="s">
        <v>27</v>
      </c>
      <c r="I5" s="5">
        <v>2700</v>
      </c>
      <c r="J5" t="s">
        <v>21</v>
      </c>
      <c r="K5" s="2">
        <v>7</v>
      </c>
      <c r="L5" t="s">
        <v>33</v>
      </c>
      <c r="N5" s="6" t="s">
        <v>28</v>
      </c>
    </row>
    <row r="6" spans="1:14" x14ac:dyDescent="0.25">
      <c r="F6" s="9"/>
    </row>
    <row r="7" spans="1:14" x14ac:dyDescent="0.25">
      <c r="B7" s="1" t="s">
        <v>37</v>
      </c>
      <c r="F7" s="9" t="s">
        <v>43</v>
      </c>
    </row>
    <row r="8" spans="1:14" x14ac:dyDescent="0.25">
      <c r="A8" s="1" t="s">
        <v>37</v>
      </c>
      <c r="B8" t="s">
        <v>36</v>
      </c>
      <c r="C8" s="2" t="s">
        <v>40</v>
      </c>
      <c r="D8" t="s">
        <v>55</v>
      </c>
      <c r="E8" t="s">
        <v>41</v>
      </c>
      <c r="F8" s="9" t="s">
        <v>42</v>
      </c>
      <c r="G8" s="7" t="s">
        <v>45</v>
      </c>
      <c r="H8" s="5" t="s">
        <v>54</v>
      </c>
      <c r="I8" s="5" t="s">
        <v>30</v>
      </c>
      <c r="L8" t="s">
        <v>46</v>
      </c>
      <c r="N8" t="s">
        <v>58</v>
      </c>
    </row>
    <row r="9" spans="1:14" x14ac:dyDescent="0.25">
      <c r="A9" s="1" t="s">
        <v>37</v>
      </c>
      <c r="B9" t="s">
        <v>38</v>
      </c>
      <c r="C9" s="2" t="s">
        <v>47</v>
      </c>
      <c r="D9" t="s">
        <v>8</v>
      </c>
      <c r="E9" t="s">
        <v>8</v>
      </c>
      <c r="F9" s="9" t="s">
        <v>49</v>
      </c>
      <c r="G9" s="5" t="s">
        <v>50</v>
      </c>
      <c r="H9" s="5" t="s">
        <v>56</v>
      </c>
      <c r="I9" s="5" t="s">
        <v>18</v>
      </c>
      <c r="L9" t="s">
        <v>33</v>
      </c>
      <c r="N9" t="s">
        <v>57</v>
      </c>
    </row>
    <row r="10" spans="1:14" x14ac:dyDescent="0.25">
      <c r="A10" s="1" t="s">
        <v>37</v>
      </c>
      <c r="B10" t="s">
        <v>39</v>
      </c>
      <c r="C10" s="2" t="s">
        <v>48</v>
      </c>
      <c r="D10" t="s">
        <v>8</v>
      </c>
      <c r="E10" t="s">
        <v>17</v>
      </c>
      <c r="F10" s="9" t="s">
        <v>51</v>
      </c>
      <c r="G10" s="5" t="s">
        <v>52</v>
      </c>
      <c r="H10" s="5" t="s">
        <v>61</v>
      </c>
      <c r="I10" s="5" t="s">
        <v>60</v>
      </c>
      <c r="L10" t="s">
        <v>53</v>
      </c>
      <c r="N10" t="s">
        <v>59</v>
      </c>
    </row>
    <row r="11" spans="1:14" x14ac:dyDescent="0.25">
      <c r="F11" s="9" t="s">
        <v>44</v>
      </c>
    </row>
    <row r="12" spans="1:14" x14ac:dyDescent="0.25">
      <c r="B12" s="1" t="s">
        <v>62</v>
      </c>
      <c r="F12" s="9"/>
    </row>
    <row r="13" spans="1:14" x14ac:dyDescent="0.25">
      <c r="F13" s="9"/>
      <c r="G13" s="10"/>
    </row>
    <row r="14" spans="1:14" x14ac:dyDescent="0.25">
      <c r="A14" s="1" t="s">
        <v>62</v>
      </c>
      <c r="B14" t="s">
        <v>63</v>
      </c>
      <c r="C14" s="2">
        <v>1.74</v>
      </c>
      <c r="D14" t="s">
        <v>30</v>
      </c>
      <c r="E14" t="s">
        <v>65</v>
      </c>
      <c r="F14" s="9">
        <v>45</v>
      </c>
      <c r="G14" s="10">
        <v>156</v>
      </c>
      <c r="H14" s="5" t="s">
        <v>66</v>
      </c>
      <c r="I14" s="10">
        <v>650</v>
      </c>
      <c r="K14" s="2" t="s">
        <v>64</v>
      </c>
      <c r="L14" t="s">
        <v>67</v>
      </c>
      <c r="N14" t="s">
        <v>68</v>
      </c>
    </row>
    <row r="15" spans="1:14" x14ac:dyDescent="0.25">
      <c r="A15" s="1" t="s">
        <v>62</v>
      </c>
      <c r="B15" t="s">
        <v>69</v>
      </c>
      <c r="C15" s="2">
        <v>4.51</v>
      </c>
      <c r="D15" t="s">
        <v>73</v>
      </c>
      <c r="E15" t="s">
        <v>80</v>
      </c>
      <c r="F15" s="9" t="s">
        <v>70</v>
      </c>
      <c r="G15" s="10" t="s">
        <v>71</v>
      </c>
      <c r="H15" s="5" t="s">
        <v>72</v>
      </c>
      <c r="I15" s="10">
        <v>1668</v>
      </c>
      <c r="K15" s="2">
        <v>6</v>
      </c>
      <c r="L15" t="s">
        <v>74</v>
      </c>
      <c r="N15" t="s">
        <v>84</v>
      </c>
    </row>
    <row r="16" spans="1:14" x14ac:dyDescent="0.25">
      <c r="A16" s="1" t="s">
        <v>62</v>
      </c>
      <c r="B16" t="s">
        <v>75</v>
      </c>
      <c r="C16" s="2">
        <v>7.87</v>
      </c>
      <c r="D16" t="s">
        <v>81</v>
      </c>
      <c r="E16" t="s">
        <v>77</v>
      </c>
      <c r="F16" s="9">
        <v>210</v>
      </c>
      <c r="G16" s="10" t="s">
        <v>78</v>
      </c>
      <c r="H16" s="5" t="s">
        <v>79</v>
      </c>
      <c r="I16" s="10">
        <v>1538</v>
      </c>
      <c r="K16" s="2" t="s">
        <v>76</v>
      </c>
      <c r="L16" t="s">
        <v>82</v>
      </c>
      <c r="N16" t="s">
        <v>83</v>
      </c>
    </row>
    <row r="17" spans="1:14" x14ac:dyDescent="0.25">
      <c r="A17" s="1" t="s">
        <v>62</v>
      </c>
      <c r="B17" t="s">
        <v>85</v>
      </c>
      <c r="C17" s="2">
        <v>8.9</v>
      </c>
      <c r="D17" t="s">
        <v>17</v>
      </c>
      <c r="E17" t="s">
        <v>86</v>
      </c>
      <c r="F17" s="9">
        <v>200</v>
      </c>
      <c r="G17" s="10">
        <v>90</v>
      </c>
      <c r="H17" s="5" t="s">
        <v>87</v>
      </c>
      <c r="I17" s="10">
        <v>1455</v>
      </c>
      <c r="K17" s="2" t="s">
        <v>76</v>
      </c>
      <c r="L17" t="s">
        <v>88</v>
      </c>
      <c r="N17" t="s">
        <v>89</v>
      </c>
    </row>
    <row r="18" spans="1:14" x14ac:dyDescent="0.25">
      <c r="A18" s="1" t="s">
        <v>62</v>
      </c>
      <c r="B18" t="s">
        <v>90</v>
      </c>
      <c r="C18" s="2">
        <v>8.9600000000000009</v>
      </c>
      <c r="D18" t="s">
        <v>93</v>
      </c>
      <c r="E18" t="s">
        <v>91</v>
      </c>
      <c r="F18" s="9" t="s">
        <v>92</v>
      </c>
      <c r="G18" s="10">
        <v>390</v>
      </c>
      <c r="H18" s="5" t="s">
        <v>95</v>
      </c>
      <c r="I18" s="10">
        <v>1085</v>
      </c>
      <c r="K18" s="2">
        <v>3</v>
      </c>
      <c r="L18" t="s">
        <v>94</v>
      </c>
      <c r="N18" t="s">
        <v>96</v>
      </c>
    </row>
    <row r="19" spans="1:14" x14ac:dyDescent="0.25">
      <c r="A19" s="1" t="s">
        <v>62</v>
      </c>
      <c r="B19" t="s">
        <v>97</v>
      </c>
      <c r="C19" s="2">
        <v>7.14</v>
      </c>
      <c r="D19" t="s">
        <v>18</v>
      </c>
      <c r="E19" t="s">
        <v>8</v>
      </c>
      <c r="F19" s="9">
        <v>100</v>
      </c>
      <c r="G19" s="10">
        <v>120</v>
      </c>
      <c r="H19" s="5" t="s">
        <v>98</v>
      </c>
      <c r="I19" s="10">
        <v>419</v>
      </c>
      <c r="K19" s="2" t="s">
        <v>64</v>
      </c>
      <c r="L19" t="s">
        <v>99</v>
      </c>
      <c r="N19" t="s">
        <v>100</v>
      </c>
    </row>
    <row r="20" spans="1:14" x14ac:dyDescent="0.25">
      <c r="A20" s="1" t="s">
        <v>62</v>
      </c>
      <c r="B20" t="s">
        <v>101</v>
      </c>
      <c r="C20" s="2">
        <v>2.7</v>
      </c>
      <c r="D20" t="s">
        <v>18</v>
      </c>
      <c r="E20" t="s">
        <v>103</v>
      </c>
      <c r="F20" s="9">
        <v>70</v>
      </c>
      <c r="G20" s="10">
        <v>205</v>
      </c>
      <c r="H20" s="5" t="s">
        <v>104</v>
      </c>
      <c r="I20" s="10">
        <v>660</v>
      </c>
      <c r="K20" s="2" t="s">
        <v>64</v>
      </c>
      <c r="L20" t="s">
        <v>67</v>
      </c>
      <c r="N20" t="s">
        <v>105</v>
      </c>
    </row>
    <row r="21" spans="1:14" x14ac:dyDescent="0.25">
      <c r="A21" s="1" t="s">
        <v>62</v>
      </c>
      <c r="B21" t="s">
        <v>102</v>
      </c>
      <c r="C21" s="2">
        <v>11.34</v>
      </c>
      <c r="D21" t="s">
        <v>11</v>
      </c>
      <c r="E21" t="s">
        <v>106</v>
      </c>
      <c r="F21" s="9">
        <v>14</v>
      </c>
      <c r="G21" s="10">
        <v>35</v>
      </c>
      <c r="H21" s="5" t="s">
        <v>107</v>
      </c>
      <c r="I21" s="10">
        <v>327</v>
      </c>
      <c r="K21" s="2" t="s">
        <v>109</v>
      </c>
      <c r="L21" t="s">
        <v>108</v>
      </c>
    </row>
    <row r="22" spans="1:14" x14ac:dyDescent="0.25">
      <c r="A22" s="1"/>
      <c r="F22" s="9"/>
      <c r="G22" s="10"/>
      <c r="I22" s="10"/>
    </row>
    <row r="23" spans="1:14" x14ac:dyDescent="0.25">
      <c r="A23" s="1" t="s">
        <v>62</v>
      </c>
      <c r="B23" t="s">
        <v>110</v>
      </c>
      <c r="C23" s="2">
        <v>1.85</v>
      </c>
      <c r="D23" s="9" t="s">
        <v>17</v>
      </c>
      <c r="E23" s="9" t="s">
        <v>8</v>
      </c>
      <c r="F23" s="9">
        <v>287</v>
      </c>
      <c r="G23" s="10">
        <v>200</v>
      </c>
      <c r="H23" s="10" t="s">
        <v>111</v>
      </c>
      <c r="I23" s="10">
        <v>1287</v>
      </c>
      <c r="K23" s="2">
        <v>5.5</v>
      </c>
      <c r="L23" t="s">
        <v>112</v>
      </c>
      <c r="N23" t="s">
        <v>113</v>
      </c>
    </row>
    <row r="24" spans="1:14" x14ac:dyDescent="0.25">
      <c r="A24" s="1" t="s">
        <v>62</v>
      </c>
      <c r="B24" t="s">
        <v>114</v>
      </c>
      <c r="C24" s="2">
        <v>7.19</v>
      </c>
      <c r="D24" s="9" t="s">
        <v>116</v>
      </c>
      <c r="E24" s="9" t="s">
        <v>17</v>
      </c>
      <c r="F24" s="9">
        <v>240</v>
      </c>
      <c r="G24" s="10">
        <v>93</v>
      </c>
      <c r="H24" s="10" t="s">
        <v>115</v>
      </c>
      <c r="I24" s="10">
        <v>1907</v>
      </c>
      <c r="K24" s="2">
        <v>8.5</v>
      </c>
      <c r="L24" t="s">
        <v>117</v>
      </c>
      <c r="N24" t="s">
        <v>118</v>
      </c>
    </row>
    <row r="25" spans="1:14" x14ac:dyDescent="0.25">
      <c r="A25" s="1" t="s">
        <v>62</v>
      </c>
      <c r="B25" t="s">
        <v>119</v>
      </c>
      <c r="C25" s="2">
        <v>19.32</v>
      </c>
      <c r="D25" s="9" t="s">
        <v>122</v>
      </c>
      <c r="E25" s="9" t="s">
        <v>120</v>
      </c>
      <c r="F25" s="9">
        <v>79</v>
      </c>
      <c r="G25" s="10">
        <v>315</v>
      </c>
      <c r="H25" s="10" t="s">
        <v>121</v>
      </c>
      <c r="I25" s="10">
        <v>1064</v>
      </c>
      <c r="K25" s="2" t="s">
        <v>64</v>
      </c>
      <c r="L25" t="s">
        <v>123</v>
      </c>
      <c r="N25" t="s">
        <v>124</v>
      </c>
    </row>
    <row r="26" spans="1:14" x14ac:dyDescent="0.25">
      <c r="A26" s="1" t="s">
        <v>62</v>
      </c>
      <c r="B26" t="s">
        <v>125</v>
      </c>
      <c r="C26" s="2">
        <v>10.220000000000001</v>
      </c>
      <c r="D26" s="9" t="s">
        <v>17</v>
      </c>
      <c r="E26" s="9" t="s">
        <v>127</v>
      </c>
      <c r="F26" s="9">
        <v>330</v>
      </c>
      <c r="G26" s="10">
        <v>138</v>
      </c>
      <c r="H26" s="10" t="s">
        <v>128</v>
      </c>
      <c r="I26" s="10">
        <v>2623</v>
      </c>
      <c r="K26" s="2" t="s">
        <v>126</v>
      </c>
      <c r="L26" t="s">
        <v>129</v>
      </c>
      <c r="N26" t="s">
        <v>130</v>
      </c>
    </row>
    <row r="27" spans="1:14" x14ac:dyDescent="0.25">
      <c r="A27" s="1" t="s">
        <v>62</v>
      </c>
      <c r="B27" t="s">
        <v>131</v>
      </c>
      <c r="C27" s="2">
        <v>10.49</v>
      </c>
      <c r="D27" s="9" t="s">
        <v>122</v>
      </c>
      <c r="E27" s="9" t="s">
        <v>18</v>
      </c>
      <c r="F27" s="9">
        <v>70</v>
      </c>
      <c r="G27" s="10">
        <v>429</v>
      </c>
      <c r="H27" s="10" t="s">
        <v>132</v>
      </c>
      <c r="I27" s="10">
        <v>961</v>
      </c>
      <c r="K27" s="2" t="s">
        <v>64</v>
      </c>
      <c r="L27" t="s">
        <v>133</v>
      </c>
    </row>
    <row r="28" spans="1:14" x14ac:dyDescent="0.25">
      <c r="A28" s="1" t="s">
        <v>62</v>
      </c>
      <c r="B28" t="s">
        <v>167</v>
      </c>
      <c r="C28" s="2">
        <v>19.25</v>
      </c>
      <c r="D28" s="9">
        <v>2000</v>
      </c>
      <c r="E28" s="9">
        <v>1510</v>
      </c>
      <c r="F28" s="9">
        <v>400</v>
      </c>
      <c r="G28" s="10">
        <v>173</v>
      </c>
      <c r="H28" s="10" t="s">
        <v>164</v>
      </c>
      <c r="I28" s="10">
        <v>3422</v>
      </c>
      <c r="K28" s="2">
        <v>7.5</v>
      </c>
      <c r="L28" t="s">
        <v>74</v>
      </c>
      <c r="N28" t="s">
        <v>173</v>
      </c>
    </row>
    <row r="29" spans="1:14" x14ac:dyDescent="0.25">
      <c r="A29" s="1" t="s">
        <v>62</v>
      </c>
      <c r="B29" t="s">
        <v>166</v>
      </c>
      <c r="C29" s="2">
        <v>6.11</v>
      </c>
      <c r="D29" s="9" t="s">
        <v>165</v>
      </c>
      <c r="E29" s="9" t="s">
        <v>17</v>
      </c>
      <c r="F29" s="9">
        <v>130</v>
      </c>
      <c r="G29" s="10">
        <v>30</v>
      </c>
      <c r="H29" s="10" t="s">
        <v>168</v>
      </c>
      <c r="I29" s="10">
        <v>1910</v>
      </c>
      <c r="K29" s="2">
        <v>6</v>
      </c>
      <c r="L29" t="s">
        <v>129</v>
      </c>
      <c r="N29" t="s">
        <v>172</v>
      </c>
    </row>
    <row r="30" spans="1:14" x14ac:dyDescent="0.25">
      <c r="A30" s="1" t="s">
        <v>62</v>
      </c>
      <c r="B30" t="s">
        <v>160</v>
      </c>
      <c r="C30" s="2">
        <v>8.9</v>
      </c>
      <c r="D30" s="9" t="s">
        <v>116</v>
      </c>
      <c r="E30" s="9" t="s">
        <v>169</v>
      </c>
      <c r="F30" s="9">
        <v>210</v>
      </c>
      <c r="G30" s="10">
        <v>100</v>
      </c>
      <c r="H30" s="10" t="s">
        <v>170</v>
      </c>
      <c r="I30" s="10">
        <v>1495</v>
      </c>
      <c r="K30" s="2">
        <v>5</v>
      </c>
      <c r="L30" t="s">
        <v>74</v>
      </c>
      <c r="N30" t="s">
        <v>171</v>
      </c>
    </row>
    <row r="32" spans="1:14" x14ac:dyDescent="0.25">
      <c r="A32" s="1"/>
      <c r="B32" s="1" t="s">
        <v>137</v>
      </c>
      <c r="F32" s="9"/>
    </row>
    <row r="33" spans="1:14" x14ac:dyDescent="0.25">
      <c r="A33" s="1" t="s">
        <v>207</v>
      </c>
      <c r="B33" t="s">
        <v>134</v>
      </c>
      <c r="C33" s="2">
        <v>8.4</v>
      </c>
      <c r="D33" s="2" t="s">
        <v>116</v>
      </c>
      <c r="E33" s="2" t="s">
        <v>17</v>
      </c>
      <c r="F33" s="2">
        <v>200</v>
      </c>
      <c r="G33" s="10" t="s">
        <v>141</v>
      </c>
      <c r="H33" s="5" t="s">
        <v>147</v>
      </c>
      <c r="I33" s="10">
        <v>1425</v>
      </c>
      <c r="K33" s="2" t="s">
        <v>138</v>
      </c>
      <c r="L33" t="s">
        <v>148</v>
      </c>
      <c r="N33" t="s">
        <v>149</v>
      </c>
    </row>
    <row r="34" spans="1:14" x14ac:dyDescent="0.25">
      <c r="A34" s="1" t="s">
        <v>207</v>
      </c>
      <c r="B34" t="s">
        <v>135</v>
      </c>
      <c r="C34" s="2">
        <v>8</v>
      </c>
      <c r="D34" s="2" t="s">
        <v>17</v>
      </c>
      <c r="E34" s="2" t="s">
        <v>55</v>
      </c>
      <c r="F34" s="2">
        <v>145</v>
      </c>
      <c r="G34" s="11" t="s">
        <v>146</v>
      </c>
      <c r="H34" s="5" t="s">
        <v>180</v>
      </c>
      <c r="I34" s="10">
        <v>1430</v>
      </c>
      <c r="K34" s="2" t="s">
        <v>76</v>
      </c>
      <c r="L34" t="s">
        <v>145</v>
      </c>
      <c r="N34" t="s">
        <v>150</v>
      </c>
    </row>
    <row r="35" spans="1:14" x14ac:dyDescent="0.25">
      <c r="A35" s="1" t="s">
        <v>207</v>
      </c>
      <c r="B35" t="s">
        <v>136</v>
      </c>
      <c r="C35" s="2">
        <v>8.44</v>
      </c>
      <c r="D35" s="2" t="s">
        <v>139</v>
      </c>
      <c r="E35" s="2" t="s">
        <v>140</v>
      </c>
      <c r="F35" s="2">
        <v>200</v>
      </c>
      <c r="G35" s="10" t="s">
        <v>141</v>
      </c>
      <c r="H35" s="5" t="s">
        <v>143</v>
      </c>
      <c r="I35" s="10" t="s">
        <v>142</v>
      </c>
      <c r="K35" s="2" t="s">
        <v>138</v>
      </c>
      <c r="L35" t="s">
        <v>144</v>
      </c>
      <c r="N35" t="s">
        <v>151</v>
      </c>
    </row>
    <row r="36" spans="1:14" x14ac:dyDescent="0.25">
      <c r="A36" s="1" t="s">
        <v>207</v>
      </c>
      <c r="B36" t="s">
        <v>163</v>
      </c>
      <c r="C36" s="2">
        <v>7.85</v>
      </c>
      <c r="D36" s="2" t="s">
        <v>81</v>
      </c>
      <c r="E36" s="2" t="s">
        <v>177</v>
      </c>
      <c r="F36" s="2">
        <v>200</v>
      </c>
      <c r="G36" s="5" t="s">
        <v>178</v>
      </c>
      <c r="H36" s="5" t="s">
        <v>179</v>
      </c>
      <c r="I36" s="10" t="s">
        <v>181</v>
      </c>
      <c r="K36" s="2" t="s">
        <v>76</v>
      </c>
      <c r="L36" t="s">
        <v>82</v>
      </c>
      <c r="N36" t="s">
        <v>182</v>
      </c>
    </row>
    <row r="37" spans="1:14" x14ac:dyDescent="0.25">
      <c r="A37" s="1" t="s">
        <v>207</v>
      </c>
      <c r="B37" t="s">
        <v>161</v>
      </c>
      <c r="C37" s="2">
        <v>7.85</v>
      </c>
      <c r="D37" s="2" t="s">
        <v>55</v>
      </c>
      <c r="E37" s="2" t="s">
        <v>183</v>
      </c>
      <c r="F37" s="2">
        <v>200</v>
      </c>
      <c r="G37" s="5" t="s">
        <v>184</v>
      </c>
      <c r="H37" s="5" t="s">
        <v>179</v>
      </c>
      <c r="I37" s="10" t="s">
        <v>181</v>
      </c>
      <c r="K37" s="2" t="s">
        <v>138</v>
      </c>
      <c r="L37" t="s">
        <v>176</v>
      </c>
      <c r="N37" t="s">
        <v>188</v>
      </c>
    </row>
    <row r="38" spans="1:14" x14ac:dyDescent="0.25">
      <c r="A38" s="1" t="s">
        <v>207</v>
      </c>
      <c r="B38" t="s">
        <v>162</v>
      </c>
      <c r="C38" s="2">
        <v>7.85</v>
      </c>
      <c r="D38" s="2" t="s">
        <v>185</v>
      </c>
      <c r="E38" s="2" t="s">
        <v>140</v>
      </c>
      <c r="F38" s="2">
        <v>200</v>
      </c>
      <c r="G38" s="5" t="s">
        <v>186</v>
      </c>
      <c r="H38" s="5" t="s">
        <v>179</v>
      </c>
      <c r="I38" s="10" t="s">
        <v>181</v>
      </c>
      <c r="K38" s="2" t="s">
        <v>174</v>
      </c>
      <c r="L38" t="s">
        <v>175</v>
      </c>
      <c r="N38" t="s">
        <v>187</v>
      </c>
    </row>
    <row r="39" spans="1:14" x14ac:dyDescent="0.25">
      <c r="A39" s="1" t="s">
        <v>155</v>
      </c>
      <c r="B39" t="s">
        <v>154</v>
      </c>
      <c r="C39" s="2">
        <v>7.93</v>
      </c>
      <c r="D39" s="2" t="s">
        <v>18</v>
      </c>
      <c r="E39" s="2" t="s">
        <v>190</v>
      </c>
      <c r="F39" s="2">
        <v>200</v>
      </c>
      <c r="G39" s="5" t="s">
        <v>71</v>
      </c>
      <c r="H39" s="5" t="s">
        <v>194</v>
      </c>
      <c r="I39" s="10" t="s">
        <v>193</v>
      </c>
      <c r="K39" s="2" t="s">
        <v>195</v>
      </c>
      <c r="L39" s="5" t="s">
        <v>196</v>
      </c>
      <c r="M39" t="s">
        <v>191</v>
      </c>
      <c r="N39" t="s">
        <v>205</v>
      </c>
    </row>
    <row r="40" spans="1:14" x14ac:dyDescent="0.25">
      <c r="A40" s="1" t="s">
        <v>155</v>
      </c>
      <c r="B40" t="s">
        <v>189</v>
      </c>
      <c r="C40" s="2">
        <v>7.7</v>
      </c>
      <c r="D40" s="2" t="s">
        <v>81</v>
      </c>
      <c r="E40" s="2" t="s">
        <v>55</v>
      </c>
      <c r="F40" s="2">
        <v>200</v>
      </c>
      <c r="G40" s="5" t="s">
        <v>198</v>
      </c>
      <c r="H40" s="5" t="s">
        <v>199</v>
      </c>
      <c r="I40" s="10" t="s">
        <v>200</v>
      </c>
      <c r="K40" s="2" t="s">
        <v>76</v>
      </c>
      <c r="L40" s="5" t="s">
        <v>99</v>
      </c>
      <c r="M40" t="s">
        <v>197</v>
      </c>
      <c r="N40" t="s">
        <v>204</v>
      </c>
    </row>
    <row r="41" spans="1:14" x14ac:dyDescent="0.25">
      <c r="A41" s="1" t="s">
        <v>155</v>
      </c>
      <c r="B41" t="s">
        <v>156</v>
      </c>
      <c r="C41" s="2">
        <v>7.7</v>
      </c>
      <c r="D41" s="2" t="s">
        <v>116</v>
      </c>
      <c r="E41" s="2" t="s">
        <v>201</v>
      </c>
      <c r="F41" s="2">
        <v>200</v>
      </c>
      <c r="G41" s="5" t="s">
        <v>198</v>
      </c>
      <c r="H41" s="5" t="s">
        <v>199</v>
      </c>
      <c r="I41" s="10" t="s">
        <v>193</v>
      </c>
      <c r="K41" s="2" t="s">
        <v>138</v>
      </c>
      <c r="L41" s="5" t="s">
        <v>196</v>
      </c>
      <c r="M41" s="5" t="s">
        <v>202</v>
      </c>
      <c r="N41" s="6" t="s">
        <v>203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4F52-3F60-406A-8328-A68FBE918A5A}">
  <dimension ref="A2:H47"/>
  <sheetViews>
    <sheetView tabSelected="1" topLeftCell="C8" zoomScaleNormal="100" workbookViewId="0">
      <selection activeCell="B18" sqref="B18:H18"/>
    </sheetView>
  </sheetViews>
  <sheetFormatPr defaultRowHeight="15" x14ac:dyDescent="0.25"/>
  <cols>
    <col min="2" max="2" width="36.85546875" bestFit="1" customWidth="1"/>
    <col min="3" max="4" width="14.28515625" customWidth="1"/>
    <col min="6" max="6" width="15.140625" style="2" bestFit="1" customWidth="1"/>
  </cols>
  <sheetData>
    <row r="2" spans="1:8" ht="45" x14ac:dyDescent="0.25">
      <c r="C2" s="4" t="s">
        <v>29</v>
      </c>
      <c r="D2" s="4" t="s">
        <v>6</v>
      </c>
      <c r="F2" s="3" t="s">
        <v>4</v>
      </c>
      <c r="G2" s="4" t="s">
        <v>281</v>
      </c>
      <c r="H2" s="4" t="s">
        <v>282</v>
      </c>
    </row>
    <row r="3" spans="1:8" x14ac:dyDescent="0.25">
      <c r="A3" s="1" t="s">
        <v>0</v>
      </c>
      <c r="B3" t="s">
        <v>2</v>
      </c>
      <c r="C3" s="12">
        <v>400</v>
      </c>
      <c r="D3" s="12">
        <v>300</v>
      </c>
      <c r="F3" s="2">
        <v>3.95</v>
      </c>
      <c r="G3">
        <f>C3/F3</f>
        <v>101.26582278481013</v>
      </c>
      <c r="H3">
        <f>D3/F3</f>
        <v>75.949367088607588</v>
      </c>
    </row>
    <row r="4" spans="1:8" x14ac:dyDescent="0.25">
      <c r="A4" s="1" t="s">
        <v>0</v>
      </c>
      <c r="B4" t="s">
        <v>1</v>
      </c>
      <c r="C4" s="12">
        <v>450</v>
      </c>
      <c r="D4" s="12">
        <v>300</v>
      </c>
      <c r="F4" s="2">
        <v>3.21</v>
      </c>
      <c r="G4">
        <f t="shared" ref="G4:G22" si="0">C4/F4</f>
        <v>140.18691588785046</v>
      </c>
      <c r="H4">
        <f t="shared" ref="H4:H22" si="1">D4/F4</f>
        <v>93.45794392523365</v>
      </c>
    </row>
    <row r="5" spans="1:8" x14ac:dyDescent="0.25">
      <c r="A5" s="1" t="s">
        <v>0</v>
      </c>
      <c r="B5" t="s">
        <v>3</v>
      </c>
      <c r="C5" s="12">
        <v>300</v>
      </c>
      <c r="D5" s="12">
        <v>200</v>
      </c>
      <c r="F5" s="2">
        <v>6</v>
      </c>
      <c r="G5">
        <f t="shared" si="0"/>
        <v>50</v>
      </c>
      <c r="H5">
        <f t="shared" si="1"/>
        <v>33.333333333333336</v>
      </c>
    </row>
    <row r="6" spans="1:8" x14ac:dyDescent="0.25">
      <c r="C6" s="12"/>
      <c r="D6" s="12"/>
    </row>
    <row r="7" spans="1:8" x14ac:dyDescent="0.25">
      <c r="A7" s="1" t="s">
        <v>37</v>
      </c>
      <c r="B7" t="s">
        <v>36</v>
      </c>
      <c r="C7" s="12">
        <v>200</v>
      </c>
      <c r="D7" s="12">
        <v>700</v>
      </c>
      <c r="F7" s="2">
        <v>2</v>
      </c>
      <c r="G7">
        <f t="shared" si="0"/>
        <v>100</v>
      </c>
      <c r="H7">
        <f t="shared" si="1"/>
        <v>350</v>
      </c>
    </row>
    <row r="8" spans="1:8" x14ac:dyDescent="0.25">
      <c r="A8" s="1" t="s">
        <v>37</v>
      </c>
      <c r="B8" t="s">
        <v>38</v>
      </c>
      <c r="C8" s="12">
        <v>50</v>
      </c>
      <c r="D8" s="12">
        <v>400</v>
      </c>
      <c r="F8" s="2">
        <v>2.5</v>
      </c>
      <c r="G8">
        <f t="shared" si="0"/>
        <v>20</v>
      </c>
      <c r="H8">
        <f t="shared" si="1"/>
        <v>160</v>
      </c>
    </row>
    <row r="9" spans="1:8" x14ac:dyDescent="0.25">
      <c r="A9" s="1" t="s">
        <v>37</v>
      </c>
      <c r="B9" t="s">
        <v>39</v>
      </c>
      <c r="C9" s="12">
        <v>100</v>
      </c>
      <c r="D9" s="12">
        <v>600</v>
      </c>
      <c r="F9" s="2">
        <v>1.5</v>
      </c>
      <c r="G9">
        <f t="shared" si="0"/>
        <v>66.666666666666671</v>
      </c>
      <c r="H9">
        <f t="shared" si="1"/>
        <v>400</v>
      </c>
    </row>
    <row r="10" spans="1:8" x14ac:dyDescent="0.25">
      <c r="C10" s="12"/>
      <c r="D10" s="12"/>
    </row>
    <row r="11" spans="1:8" x14ac:dyDescent="0.25">
      <c r="A11" s="1" t="s">
        <v>62</v>
      </c>
      <c r="B11" t="s">
        <v>63</v>
      </c>
      <c r="C11" s="12">
        <v>45</v>
      </c>
      <c r="D11" s="12">
        <v>350</v>
      </c>
      <c r="F11" s="2">
        <v>1.74</v>
      </c>
      <c r="G11">
        <f t="shared" si="0"/>
        <v>25.862068965517242</v>
      </c>
      <c r="H11">
        <f t="shared" si="1"/>
        <v>201.14942528735634</v>
      </c>
    </row>
    <row r="12" spans="1:8" x14ac:dyDescent="0.25">
      <c r="A12" s="1" t="s">
        <v>62</v>
      </c>
      <c r="B12" t="s">
        <v>69</v>
      </c>
      <c r="C12" s="12">
        <v>120</v>
      </c>
      <c r="D12" s="12">
        <v>900</v>
      </c>
      <c r="F12" s="2">
        <v>4.51</v>
      </c>
      <c r="G12">
        <f t="shared" si="0"/>
        <v>26.607538802660756</v>
      </c>
      <c r="H12">
        <f t="shared" si="1"/>
        <v>199.55654101995566</v>
      </c>
    </row>
    <row r="13" spans="1:8" x14ac:dyDescent="0.25">
      <c r="A13" s="1" t="s">
        <v>62</v>
      </c>
      <c r="B13" t="s">
        <v>75</v>
      </c>
      <c r="C13" s="12">
        <v>210</v>
      </c>
      <c r="D13" s="12">
        <v>700</v>
      </c>
      <c r="F13" s="2">
        <v>7.87</v>
      </c>
      <c r="G13">
        <f t="shared" si="0"/>
        <v>26.683608640406607</v>
      </c>
      <c r="H13">
        <f t="shared" si="1"/>
        <v>88.945362134688693</v>
      </c>
    </row>
    <row r="14" spans="1:8" x14ac:dyDescent="0.25">
      <c r="A14" s="1" t="s">
        <v>62</v>
      </c>
      <c r="B14" t="s">
        <v>85</v>
      </c>
      <c r="C14" s="12">
        <v>200</v>
      </c>
      <c r="D14" s="12">
        <v>700</v>
      </c>
      <c r="F14" s="2">
        <v>8.9</v>
      </c>
      <c r="G14">
        <f t="shared" si="0"/>
        <v>22.471910112359549</v>
      </c>
      <c r="H14">
        <f t="shared" si="1"/>
        <v>78.651685393258418</v>
      </c>
    </row>
    <row r="15" spans="1:8" x14ac:dyDescent="0.25">
      <c r="A15" s="1" t="s">
        <v>62</v>
      </c>
      <c r="B15" t="s">
        <v>90</v>
      </c>
      <c r="C15" s="12">
        <v>130</v>
      </c>
      <c r="D15" s="12">
        <v>400</v>
      </c>
      <c r="F15" s="2">
        <v>8.9600000000000009</v>
      </c>
      <c r="G15">
        <f t="shared" si="0"/>
        <v>14.508928571428569</v>
      </c>
      <c r="H15">
        <f t="shared" si="1"/>
        <v>44.642857142857139</v>
      </c>
    </row>
    <row r="16" spans="1:8" x14ac:dyDescent="0.25">
      <c r="A16" s="1" t="s">
        <v>62</v>
      </c>
      <c r="B16" t="s">
        <v>97</v>
      </c>
      <c r="C16" s="12">
        <v>100</v>
      </c>
      <c r="D16" s="12">
        <v>400</v>
      </c>
      <c r="F16" s="2">
        <v>7.14</v>
      </c>
      <c r="G16">
        <f t="shared" si="0"/>
        <v>14.005602240896359</v>
      </c>
      <c r="H16">
        <f t="shared" si="1"/>
        <v>56.022408963585434</v>
      </c>
    </row>
    <row r="17" spans="1:8" x14ac:dyDescent="0.25">
      <c r="A17" s="1" t="s">
        <v>62</v>
      </c>
      <c r="B17" t="s">
        <v>101</v>
      </c>
      <c r="C17" s="12">
        <v>70</v>
      </c>
      <c r="D17" s="12">
        <v>500</v>
      </c>
      <c r="F17" s="2">
        <v>2.7</v>
      </c>
      <c r="G17">
        <f t="shared" si="0"/>
        <v>25.925925925925924</v>
      </c>
      <c r="H17">
        <f t="shared" si="1"/>
        <v>185.18518518518516</v>
      </c>
    </row>
    <row r="18" spans="1:8" x14ac:dyDescent="0.25">
      <c r="A18" s="1" t="s">
        <v>62</v>
      </c>
      <c r="B18" t="s">
        <v>110</v>
      </c>
      <c r="C18" s="12">
        <v>287</v>
      </c>
      <c r="D18" s="12">
        <v>400</v>
      </c>
      <c r="F18" s="2">
        <v>1.85</v>
      </c>
      <c r="G18">
        <f t="shared" si="0"/>
        <v>155.13513513513513</v>
      </c>
      <c r="H18">
        <f t="shared" si="1"/>
        <v>216.2162162162162</v>
      </c>
    </row>
    <row r="19" spans="1:8" x14ac:dyDescent="0.25">
      <c r="A19" s="1" t="s">
        <v>62</v>
      </c>
      <c r="B19" t="s">
        <v>114</v>
      </c>
      <c r="C19" s="12">
        <v>240</v>
      </c>
      <c r="D19" s="12">
        <v>600</v>
      </c>
      <c r="F19" s="2">
        <v>7.19</v>
      </c>
      <c r="G19">
        <f t="shared" si="0"/>
        <v>33.379694019471486</v>
      </c>
      <c r="H19">
        <f t="shared" si="1"/>
        <v>83.449235048678716</v>
      </c>
    </row>
    <row r="20" spans="1:8" x14ac:dyDescent="0.25">
      <c r="A20" s="1" t="s">
        <v>62</v>
      </c>
      <c r="B20" t="s">
        <v>119</v>
      </c>
      <c r="C20" s="12">
        <v>79</v>
      </c>
      <c r="D20" s="12">
        <v>220</v>
      </c>
      <c r="F20" s="32">
        <v>19.32</v>
      </c>
      <c r="G20">
        <f t="shared" si="0"/>
        <v>4.0890269151138714</v>
      </c>
      <c r="H20">
        <f t="shared" si="1"/>
        <v>11.387163561076605</v>
      </c>
    </row>
    <row r="21" spans="1:8" x14ac:dyDescent="0.25">
      <c r="A21" s="1" t="s">
        <v>62</v>
      </c>
      <c r="B21" t="s">
        <v>125</v>
      </c>
      <c r="C21" s="12">
        <v>330</v>
      </c>
      <c r="D21" s="12">
        <v>550</v>
      </c>
      <c r="F21" s="2">
        <v>10.220000000000001</v>
      </c>
      <c r="G21">
        <f t="shared" si="0"/>
        <v>32.289628180039138</v>
      </c>
      <c r="H21">
        <f t="shared" si="1"/>
        <v>53.816046966731896</v>
      </c>
    </row>
    <row r="22" spans="1:8" x14ac:dyDescent="0.25">
      <c r="A22" s="1" t="s">
        <v>62</v>
      </c>
      <c r="B22" t="s">
        <v>131</v>
      </c>
      <c r="C22" s="12">
        <v>70</v>
      </c>
      <c r="D22" s="12">
        <v>300</v>
      </c>
      <c r="F22" s="2">
        <v>10.49</v>
      </c>
      <c r="G22">
        <f t="shared" si="0"/>
        <v>6.6730219256434697</v>
      </c>
      <c r="H22">
        <f t="shared" si="1"/>
        <v>28.598665395614869</v>
      </c>
    </row>
    <row r="23" spans="1:8" x14ac:dyDescent="0.25">
      <c r="A23" s="1" t="s">
        <v>62</v>
      </c>
      <c r="B23" t="s">
        <v>167</v>
      </c>
      <c r="C23" s="2">
        <v>400</v>
      </c>
      <c r="D23" s="2">
        <v>1510</v>
      </c>
      <c r="F23" s="2">
        <v>19.25</v>
      </c>
      <c r="G23">
        <f t="shared" ref="G23:G25" si="2">C23/F23</f>
        <v>20.779220779220779</v>
      </c>
      <c r="H23">
        <f t="shared" ref="H23:H25" si="3">D23/F23</f>
        <v>78.441558441558442</v>
      </c>
    </row>
    <row r="24" spans="1:8" x14ac:dyDescent="0.25">
      <c r="A24" s="1" t="s">
        <v>62</v>
      </c>
      <c r="B24" t="s">
        <v>166</v>
      </c>
      <c r="C24" s="2">
        <v>130</v>
      </c>
      <c r="D24" s="2">
        <v>500</v>
      </c>
      <c r="F24" s="2">
        <v>6.11</v>
      </c>
      <c r="G24">
        <f t="shared" si="2"/>
        <v>21.276595744680851</v>
      </c>
      <c r="H24">
        <f t="shared" si="3"/>
        <v>81.833060556464801</v>
      </c>
    </row>
    <row r="25" spans="1:8" x14ac:dyDescent="0.25">
      <c r="A25" s="1" t="s">
        <v>62</v>
      </c>
      <c r="B25" t="s">
        <v>160</v>
      </c>
      <c r="C25" s="2">
        <v>210</v>
      </c>
      <c r="D25" s="2">
        <v>400</v>
      </c>
      <c r="F25" s="2">
        <v>8.9</v>
      </c>
      <c r="G25">
        <f t="shared" si="2"/>
        <v>23.595505617977526</v>
      </c>
      <c r="H25">
        <f t="shared" si="3"/>
        <v>44.943820224719097</v>
      </c>
    </row>
    <row r="26" spans="1:8" x14ac:dyDescent="0.25">
      <c r="A26" s="23" t="s">
        <v>207</v>
      </c>
      <c r="B26" t="s">
        <v>280</v>
      </c>
      <c r="C26" s="2">
        <v>200</v>
      </c>
      <c r="D26" s="2">
        <v>500</v>
      </c>
      <c r="F26" s="2">
        <v>8.4</v>
      </c>
      <c r="G26">
        <f t="shared" ref="G26:G34" si="4">C26/F26</f>
        <v>23.80952380952381</v>
      </c>
      <c r="H26">
        <f t="shared" ref="H26:H34" si="5">D26/F26</f>
        <v>59.523809523809518</v>
      </c>
    </row>
    <row r="27" spans="1:8" x14ac:dyDescent="0.25">
      <c r="A27" s="23" t="s">
        <v>207</v>
      </c>
      <c r="B27" t="s">
        <v>213</v>
      </c>
      <c r="C27" s="2">
        <v>145</v>
      </c>
      <c r="D27" s="2">
        <v>450</v>
      </c>
      <c r="F27" s="2">
        <v>8</v>
      </c>
      <c r="G27">
        <f t="shared" si="4"/>
        <v>18.125</v>
      </c>
      <c r="H27">
        <f t="shared" si="5"/>
        <v>56.25</v>
      </c>
    </row>
    <row r="28" spans="1:8" x14ac:dyDescent="0.25">
      <c r="A28" s="23" t="s">
        <v>207</v>
      </c>
      <c r="B28" t="s">
        <v>218</v>
      </c>
      <c r="C28" s="2">
        <v>200</v>
      </c>
      <c r="D28" s="2">
        <v>800</v>
      </c>
      <c r="F28" s="2">
        <v>8.44</v>
      </c>
      <c r="G28">
        <f t="shared" si="4"/>
        <v>23.696682464454977</v>
      </c>
      <c r="H28">
        <f t="shared" si="5"/>
        <v>94.786729857819907</v>
      </c>
    </row>
    <row r="29" spans="1:8" x14ac:dyDescent="0.25">
      <c r="A29" s="23" t="s">
        <v>207</v>
      </c>
      <c r="B29" t="s">
        <v>163</v>
      </c>
      <c r="C29" s="2">
        <v>200</v>
      </c>
      <c r="D29" s="2">
        <v>550</v>
      </c>
      <c r="F29" s="2">
        <v>7.85</v>
      </c>
      <c r="G29">
        <f t="shared" si="4"/>
        <v>25.477707006369428</v>
      </c>
      <c r="H29">
        <f t="shared" si="5"/>
        <v>70.063694267515928</v>
      </c>
    </row>
    <row r="30" spans="1:8" x14ac:dyDescent="0.25">
      <c r="A30" s="23" t="s">
        <v>207</v>
      </c>
      <c r="B30" t="s">
        <v>161</v>
      </c>
      <c r="C30" s="2">
        <v>200</v>
      </c>
      <c r="D30" s="2">
        <v>600</v>
      </c>
      <c r="F30" s="2">
        <v>7.85</v>
      </c>
      <c r="G30">
        <f t="shared" si="4"/>
        <v>25.477707006369428</v>
      </c>
      <c r="H30">
        <f t="shared" si="5"/>
        <v>76.433121019108285</v>
      </c>
    </row>
    <row r="31" spans="1:8" x14ac:dyDescent="0.25">
      <c r="A31" s="23" t="s">
        <v>207</v>
      </c>
      <c r="B31" t="s">
        <v>162</v>
      </c>
      <c r="C31" s="2">
        <v>200</v>
      </c>
      <c r="D31" s="2">
        <v>900</v>
      </c>
      <c r="F31" s="2">
        <v>7.85</v>
      </c>
      <c r="G31">
        <f t="shared" si="4"/>
        <v>25.477707006369428</v>
      </c>
      <c r="H31">
        <f t="shared" si="5"/>
        <v>114.64968152866243</v>
      </c>
    </row>
    <row r="32" spans="1:8" x14ac:dyDescent="0.25">
      <c r="A32" s="23" t="s">
        <v>155</v>
      </c>
      <c r="B32" t="s">
        <v>154</v>
      </c>
      <c r="C32" s="2">
        <v>200</v>
      </c>
      <c r="D32" s="2">
        <v>700</v>
      </c>
      <c r="F32" s="2">
        <v>7.93</v>
      </c>
      <c r="G32">
        <f t="shared" si="4"/>
        <v>25.220680958385877</v>
      </c>
      <c r="H32">
        <f t="shared" si="5"/>
        <v>88.272383354350566</v>
      </c>
    </row>
    <row r="33" spans="1:8" x14ac:dyDescent="0.25">
      <c r="A33" s="23" t="s">
        <v>155</v>
      </c>
      <c r="B33" t="s">
        <v>189</v>
      </c>
      <c r="C33" s="2">
        <v>200</v>
      </c>
      <c r="D33" s="2">
        <v>450</v>
      </c>
      <c r="F33" s="2">
        <v>7.7</v>
      </c>
      <c r="G33">
        <f t="shared" si="4"/>
        <v>25.974025974025974</v>
      </c>
      <c r="H33">
        <f t="shared" si="5"/>
        <v>58.441558441558442</v>
      </c>
    </row>
    <row r="34" spans="1:8" x14ac:dyDescent="0.25">
      <c r="A34" s="23" t="s">
        <v>155</v>
      </c>
      <c r="B34" t="s">
        <v>156</v>
      </c>
      <c r="C34" s="2">
        <v>200</v>
      </c>
      <c r="D34" s="2">
        <v>700</v>
      </c>
      <c r="F34" s="2">
        <v>7.7</v>
      </c>
      <c r="G34">
        <f t="shared" si="4"/>
        <v>25.974025974025974</v>
      </c>
      <c r="H34">
        <f t="shared" si="5"/>
        <v>90.909090909090907</v>
      </c>
    </row>
    <row r="38" spans="1:8" x14ac:dyDescent="0.25">
      <c r="C38" s="9"/>
    </row>
    <row r="39" spans="1:8" x14ac:dyDescent="0.25">
      <c r="C39" s="9"/>
    </row>
    <row r="46" spans="1:8" x14ac:dyDescent="0.25">
      <c r="A46" s="14" t="s">
        <v>152</v>
      </c>
    </row>
    <row r="47" spans="1:8" x14ac:dyDescent="0.25">
      <c r="B47" s="1" t="s">
        <v>153</v>
      </c>
    </row>
  </sheetData>
  <hyperlinks>
    <hyperlink ref="A46" r:id="rId1" xr:uid="{EE5CA5BB-FD03-4FF3-B10A-8CE6FF9B4886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E103-26D3-4573-B68A-A4A716D210E7}">
  <dimension ref="A2:N96"/>
  <sheetViews>
    <sheetView zoomScaleNormal="100" workbookViewId="0">
      <selection activeCell="J15" sqref="J15"/>
    </sheetView>
  </sheetViews>
  <sheetFormatPr defaultRowHeight="15" x14ac:dyDescent="0.25"/>
  <cols>
    <col min="2" max="2" width="40" customWidth="1"/>
    <col min="3" max="3" width="15.140625" bestFit="1" customWidth="1"/>
    <col min="7" max="7" width="12.28515625" customWidth="1"/>
    <col min="8" max="8" width="11.42578125" customWidth="1"/>
    <col min="10" max="11" width="14.140625" customWidth="1"/>
    <col min="12" max="12" width="13.85546875" customWidth="1"/>
    <col min="13" max="13" width="11.5703125" customWidth="1"/>
  </cols>
  <sheetData>
    <row r="2" spans="1:14" ht="75" x14ac:dyDescent="0.25">
      <c r="A2" s="1"/>
      <c r="B2" s="1" t="s">
        <v>0</v>
      </c>
      <c r="C2" s="3" t="s">
        <v>284</v>
      </c>
      <c r="D2" s="4" t="s">
        <v>286</v>
      </c>
      <c r="E2" s="4" t="s">
        <v>285</v>
      </c>
      <c r="F2" s="4" t="s">
        <v>287</v>
      </c>
      <c r="G2" s="4" t="s">
        <v>288</v>
      </c>
      <c r="H2" s="4" t="s">
        <v>289</v>
      </c>
      <c r="I2" s="4" t="s">
        <v>290</v>
      </c>
      <c r="J2" s="4" t="s">
        <v>291</v>
      </c>
      <c r="K2" s="4" t="s">
        <v>32</v>
      </c>
      <c r="L2" s="4" t="s">
        <v>292</v>
      </c>
      <c r="M2" s="4" t="s">
        <v>293</v>
      </c>
      <c r="N2" s="4" t="s">
        <v>326</v>
      </c>
    </row>
    <row r="3" spans="1:14" x14ac:dyDescent="0.25">
      <c r="A3" s="1" t="s">
        <v>0</v>
      </c>
      <c r="B3" t="s">
        <v>283</v>
      </c>
      <c r="C3" s="2">
        <v>3720</v>
      </c>
      <c r="D3">
        <v>300</v>
      </c>
      <c r="F3">
        <v>220</v>
      </c>
      <c r="G3">
        <v>25</v>
      </c>
      <c r="H3">
        <v>8</v>
      </c>
      <c r="I3">
        <v>880</v>
      </c>
      <c r="J3" s="9">
        <v>1000</v>
      </c>
      <c r="K3">
        <v>3</v>
      </c>
      <c r="L3">
        <v>1</v>
      </c>
      <c r="M3">
        <v>5</v>
      </c>
      <c r="N3">
        <v>1</v>
      </c>
    </row>
    <row r="4" spans="1:14" x14ac:dyDescent="0.25">
      <c r="A4" s="1" t="s">
        <v>0</v>
      </c>
      <c r="B4" t="s">
        <v>1</v>
      </c>
      <c r="C4" s="2">
        <v>3210</v>
      </c>
      <c r="D4">
        <v>450</v>
      </c>
      <c r="F4">
        <v>400</v>
      </c>
      <c r="G4">
        <v>140</v>
      </c>
      <c r="H4">
        <v>4</v>
      </c>
      <c r="I4">
        <v>670</v>
      </c>
      <c r="J4" s="9">
        <v>1200</v>
      </c>
      <c r="K4">
        <v>3</v>
      </c>
      <c r="L4">
        <v>1</v>
      </c>
      <c r="M4">
        <v>5</v>
      </c>
      <c r="N4">
        <v>1</v>
      </c>
    </row>
    <row r="5" spans="1:14" x14ac:dyDescent="0.25">
      <c r="A5" s="1" t="s">
        <v>0</v>
      </c>
      <c r="B5" t="s">
        <v>294</v>
      </c>
      <c r="C5" s="2">
        <v>6000</v>
      </c>
      <c r="D5">
        <v>205</v>
      </c>
      <c r="F5">
        <v>250</v>
      </c>
      <c r="G5">
        <v>2</v>
      </c>
      <c r="H5">
        <v>10</v>
      </c>
      <c r="I5">
        <v>500</v>
      </c>
      <c r="J5" s="9">
        <v>600</v>
      </c>
      <c r="K5">
        <v>4</v>
      </c>
      <c r="L5">
        <v>1</v>
      </c>
      <c r="M5">
        <v>5</v>
      </c>
      <c r="N5">
        <v>1</v>
      </c>
    </row>
    <row r="6" spans="1:14" x14ac:dyDescent="0.25">
      <c r="A6" s="1" t="s">
        <v>0</v>
      </c>
      <c r="B6" t="s">
        <v>295</v>
      </c>
      <c r="C6" s="2">
        <v>2530</v>
      </c>
      <c r="D6">
        <v>70</v>
      </c>
      <c r="F6">
        <v>50</v>
      </c>
      <c r="G6">
        <v>1</v>
      </c>
      <c r="H6">
        <v>9</v>
      </c>
      <c r="I6">
        <v>800</v>
      </c>
      <c r="J6" s="9">
        <v>550</v>
      </c>
      <c r="K6">
        <v>1</v>
      </c>
      <c r="L6">
        <v>1</v>
      </c>
      <c r="M6">
        <v>5</v>
      </c>
      <c r="N6">
        <v>4</v>
      </c>
    </row>
    <row r="7" spans="1:14" x14ac:dyDescent="0.25">
      <c r="A7" s="1" t="s">
        <v>0</v>
      </c>
      <c r="B7" t="s">
        <v>296</v>
      </c>
      <c r="C7" s="2">
        <v>2200</v>
      </c>
      <c r="D7">
        <v>73</v>
      </c>
      <c r="F7">
        <v>50</v>
      </c>
      <c r="G7">
        <v>1.4</v>
      </c>
      <c r="H7">
        <v>0.5</v>
      </c>
      <c r="I7">
        <v>740</v>
      </c>
      <c r="J7" s="9">
        <v>1000</v>
      </c>
      <c r="K7">
        <v>2</v>
      </c>
      <c r="L7">
        <v>1</v>
      </c>
      <c r="M7">
        <v>5</v>
      </c>
      <c r="N7">
        <v>1</v>
      </c>
    </row>
    <row r="8" spans="1:14" x14ac:dyDescent="0.25">
      <c r="A8" s="1" t="s">
        <v>0</v>
      </c>
      <c r="B8" t="s">
        <v>297</v>
      </c>
      <c r="C8" s="2">
        <v>3200</v>
      </c>
      <c r="D8">
        <v>300</v>
      </c>
      <c r="F8">
        <v>1000</v>
      </c>
      <c r="G8">
        <v>25</v>
      </c>
      <c r="H8">
        <v>3</v>
      </c>
      <c r="I8">
        <v>700</v>
      </c>
      <c r="J8" s="9">
        <v>1000</v>
      </c>
      <c r="K8">
        <v>4</v>
      </c>
      <c r="L8">
        <v>1</v>
      </c>
      <c r="M8">
        <v>5</v>
      </c>
      <c r="N8">
        <v>1</v>
      </c>
    </row>
    <row r="9" spans="1:14" x14ac:dyDescent="0.25">
      <c r="A9" s="1" t="s">
        <v>0</v>
      </c>
      <c r="B9" t="s">
        <v>298</v>
      </c>
      <c r="C9" s="2">
        <v>2520</v>
      </c>
      <c r="D9">
        <v>450</v>
      </c>
      <c r="F9">
        <v>300</v>
      </c>
      <c r="G9">
        <v>50</v>
      </c>
      <c r="H9">
        <v>5</v>
      </c>
      <c r="I9">
        <v>1000</v>
      </c>
      <c r="J9" s="9">
        <v>1000</v>
      </c>
      <c r="K9">
        <v>4</v>
      </c>
      <c r="L9">
        <v>1</v>
      </c>
      <c r="M9">
        <v>5</v>
      </c>
      <c r="N9">
        <v>1</v>
      </c>
    </row>
    <row r="10" spans="1:14" x14ac:dyDescent="0.25">
      <c r="J10" s="9"/>
    </row>
    <row r="11" spans="1:14" x14ac:dyDescent="0.25">
      <c r="B11" s="1" t="s">
        <v>37</v>
      </c>
      <c r="C11" s="2"/>
      <c r="J11" s="9"/>
    </row>
    <row r="12" spans="1:14" x14ac:dyDescent="0.25">
      <c r="A12" s="1" t="s">
        <v>37</v>
      </c>
      <c r="B12" t="s">
        <v>299</v>
      </c>
      <c r="C12" s="2">
        <v>1600</v>
      </c>
      <c r="D12">
        <v>140</v>
      </c>
      <c r="F12">
        <v>1800</v>
      </c>
      <c r="G12">
        <v>5</v>
      </c>
      <c r="H12">
        <v>0</v>
      </c>
      <c r="I12">
        <v>900</v>
      </c>
      <c r="J12" s="9">
        <v>150</v>
      </c>
      <c r="K12">
        <v>5</v>
      </c>
      <c r="L12">
        <v>2</v>
      </c>
      <c r="M12">
        <v>3</v>
      </c>
      <c r="N12">
        <v>2</v>
      </c>
    </row>
    <row r="13" spans="1:14" x14ac:dyDescent="0.25">
      <c r="A13" s="1" t="s">
        <v>37</v>
      </c>
      <c r="B13" t="s">
        <v>300</v>
      </c>
      <c r="C13" s="2">
        <v>1600</v>
      </c>
      <c r="D13">
        <v>70</v>
      </c>
      <c r="F13">
        <v>800</v>
      </c>
      <c r="G13">
        <v>5</v>
      </c>
      <c r="H13">
        <v>0</v>
      </c>
      <c r="I13">
        <v>900</v>
      </c>
      <c r="J13" s="9">
        <v>150</v>
      </c>
    </row>
    <row r="14" spans="1:14" x14ac:dyDescent="0.25">
      <c r="A14" s="1" t="s">
        <v>37</v>
      </c>
      <c r="B14" t="s">
        <v>301</v>
      </c>
      <c r="C14" s="2">
        <v>1900</v>
      </c>
      <c r="D14">
        <v>40</v>
      </c>
      <c r="F14">
        <v>1100</v>
      </c>
      <c r="G14">
        <v>2</v>
      </c>
      <c r="H14">
        <v>6</v>
      </c>
      <c r="I14">
        <v>900</v>
      </c>
      <c r="J14" s="9">
        <v>150</v>
      </c>
      <c r="K14">
        <v>3</v>
      </c>
      <c r="L14">
        <v>3</v>
      </c>
      <c r="M14">
        <v>4</v>
      </c>
      <c r="N14">
        <v>2</v>
      </c>
    </row>
    <row r="15" spans="1:14" x14ac:dyDescent="0.25">
      <c r="A15" s="1" t="s">
        <v>37</v>
      </c>
      <c r="B15" t="s">
        <v>302</v>
      </c>
      <c r="C15" s="2">
        <v>1850</v>
      </c>
      <c r="D15">
        <v>25</v>
      </c>
      <c r="F15">
        <v>500</v>
      </c>
      <c r="G15">
        <v>1</v>
      </c>
      <c r="H15">
        <v>5</v>
      </c>
      <c r="I15">
        <v>900</v>
      </c>
      <c r="J15" s="9">
        <v>150</v>
      </c>
      <c r="K15">
        <v>3</v>
      </c>
      <c r="L15">
        <v>3</v>
      </c>
      <c r="M15">
        <v>4</v>
      </c>
      <c r="N15">
        <v>2</v>
      </c>
    </row>
    <row r="16" spans="1:14" x14ac:dyDescent="0.25">
      <c r="A16" s="1" t="s">
        <v>37</v>
      </c>
      <c r="B16" t="s">
        <v>303</v>
      </c>
      <c r="C16" s="2">
        <v>1500</v>
      </c>
      <c r="D16">
        <v>70</v>
      </c>
      <c r="F16">
        <v>700</v>
      </c>
      <c r="G16">
        <v>2</v>
      </c>
      <c r="H16">
        <v>0</v>
      </c>
      <c r="I16">
        <v>1100</v>
      </c>
      <c r="J16" s="9">
        <v>150</v>
      </c>
      <c r="K16">
        <v>5</v>
      </c>
      <c r="L16">
        <v>2</v>
      </c>
      <c r="M16">
        <v>3</v>
      </c>
      <c r="N16">
        <v>2</v>
      </c>
    </row>
    <row r="17" spans="1:14" x14ac:dyDescent="0.25">
      <c r="A17" s="1" t="s">
        <v>37</v>
      </c>
      <c r="B17" t="s">
        <v>304</v>
      </c>
      <c r="C17" s="2">
        <v>2400</v>
      </c>
      <c r="D17">
        <v>30</v>
      </c>
      <c r="F17">
        <v>5</v>
      </c>
      <c r="G17">
        <v>1.7</v>
      </c>
      <c r="H17">
        <v>10</v>
      </c>
      <c r="I17">
        <v>880</v>
      </c>
      <c r="J17" s="9">
        <v>65</v>
      </c>
      <c r="K17">
        <v>1</v>
      </c>
      <c r="L17">
        <v>1</v>
      </c>
      <c r="M17">
        <v>5</v>
      </c>
      <c r="N17">
        <v>1</v>
      </c>
    </row>
    <row r="18" spans="1:14" x14ac:dyDescent="0.25">
      <c r="A18" s="1" t="s">
        <v>37</v>
      </c>
      <c r="B18" t="s">
        <v>39</v>
      </c>
      <c r="C18" s="2"/>
      <c r="J18" s="9"/>
    </row>
    <row r="19" spans="1:14" x14ac:dyDescent="0.25">
      <c r="C19" s="2"/>
      <c r="J19" s="9"/>
    </row>
    <row r="20" spans="1:14" x14ac:dyDescent="0.25">
      <c r="B20" s="1" t="s">
        <v>327</v>
      </c>
      <c r="J20" s="9"/>
    </row>
    <row r="21" spans="1:14" x14ac:dyDescent="0.25">
      <c r="A21" s="1" t="s">
        <v>328</v>
      </c>
      <c r="B21" t="s">
        <v>330</v>
      </c>
      <c r="C21">
        <v>920</v>
      </c>
      <c r="D21">
        <v>0.3</v>
      </c>
      <c r="E21">
        <v>8</v>
      </c>
      <c r="F21">
        <v>12</v>
      </c>
      <c r="G21">
        <v>0.33</v>
      </c>
      <c r="H21">
        <v>150</v>
      </c>
      <c r="I21">
        <v>2300</v>
      </c>
      <c r="J21">
        <v>70</v>
      </c>
      <c r="K21">
        <v>1</v>
      </c>
      <c r="L21">
        <v>4</v>
      </c>
      <c r="M21">
        <v>3</v>
      </c>
      <c r="N21">
        <v>5</v>
      </c>
    </row>
    <row r="22" spans="1:14" x14ac:dyDescent="0.25">
      <c r="A22" s="1" t="s">
        <v>328</v>
      </c>
      <c r="B22" t="s">
        <v>331</v>
      </c>
      <c r="C22">
        <v>950</v>
      </c>
      <c r="D22">
        <v>1</v>
      </c>
      <c r="E22">
        <v>25</v>
      </c>
      <c r="F22">
        <v>30</v>
      </c>
      <c r="G22">
        <v>0.45</v>
      </c>
      <c r="H22">
        <v>150</v>
      </c>
      <c r="I22">
        <v>2000</v>
      </c>
      <c r="J22">
        <v>80</v>
      </c>
      <c r="K22">
        <v>1</v>
      </c>
      <c r="L22">
        <v>4</v>
      </c>
      <c r="M22">
        <v>3</v>
      </c>
      <c r="N22">
        <v>5</v>
      </c>
    </row>
    <row r="23" spans="1:14" x14ac:dyDescent="0.25">
      <c r="A23" s="1" t="s">
        <v>328</v>
      </c>
      <c r="B23" t="s">
        <v>332</v>
      </c>
      <c r="C23">
        <v>940</v>
      </c>
      <c r="D23">
        <v>0.6</v>
      </c>
      <c r="E23">
        <v>20</v>
      </c>
      <c r="F23">
        <v>40</v>
      </c>
      <c r="G23">
        <v>0.42</v>
      </c>
      <c r="H23">
        <v>180</v>
      </c>
      <c r="I23">
        <v>2000</v>
      </c>
      <c r="J23">
        <v>80</v>
      </c>
      <c r="K23">
        <v>2</v>
      </c>
      <c r="L23">
        <v>3</v>
      </c>
      <c r="M23">
        <v>3</v>
      </c>
      <c r="N23">
        <v>5</v>
      </c>
    </row>
    <row r="24" spans="1:14" x14ac:dyDescent="0.25">
      <c r="A24" s="1" t="s">
        <v>328</v>
      </c>
      <c r="B24" t="s">
        <v>333</v>
      </c>
      <c r="C24">
        <v>900</v>
      </c>
      <c r="D24">
        <v>1.7</v>
      </c>
      <c r="E24">
        <v>30</v>
      </c>
      <c r="F24">
        <v>35</v>
      </c>
      <c r="G24">
        <v>0.22</v>
      </c>
      <c r="H24">
        <v>100</v>
      </c>
      <c r="I24">
        <v>1900</v>
      </c>
      <c r="J24">
        <v>100</v>
      </c>
      <c r="K24">
        <v>1</v>
      </c>
      <c r="L24">
        <v>4</v>
      </c>
      <c r="M24">
        <v>3</v>
      </c>
      <c r="N24">
        <v>5</v>
      </c>
    </row>
    <row r="25" spans="1:14" x14ac:dyDescent="0.25">
      <c r="A25" s="1" t="s">
        <v>328</v>
      </c>
      <c r="B25" t="s">
        <v>334</v>
      </c>
      <c r="C25">
        <v>1140</v>
      </c>
      <c r="D25">
        <v>2.5</v>
      </c>
      <c r="E25">
        <v>70</v>
      </c>
      <c r="F25">
        <v>80</v>
      </c>
      <c r="G25">
        <v>0.25</v>
      </c>
      <c r="H25">
        <v>95</v>
      </c>
      <c r="I25">
        <v>1700</v>
      </c>
      <c r="J25">
        <v>120</v>
      </c>
      <c r="K25">
        <v>2</v>
      </c>
      <c r="L25">
        <v>3</v>
      </c>
      <c r="M25">
        <v>3</v>
      </c>
      <c r="N25">
        <v>4</v>
      </c>
    </row>
    <row r="26" spans="1:14" x14ac:dyDescent="0.25">
      <c r="A26" s="1" t="s">
        <v>328</v>
      </c>
      <c r="B26" t="s">
        <v>335</v>
      </c>
      <c r="C26">
        <v>2200</v>
      </c>
      <c r="D26">
        <v>0.5</v>
      </c>
      <c r="F26">
        <v>25</v>
      </c>
      <c r="G26">
        <v>0.25</v>
      </c>
      <c r="H26">
        <v>120</v>
      </c>
      <c r="I26">
        <v>1000</v>
      </c>
      <c r="J26">
        <v>260</v>
      </c>
      <c r="K26">
        <v>3</v>
      </c>
      <c r="L26">
        <v>3</v>
      </c>
      <c r="M26">
        <v>5</v>
      </c>
      <c r="N26">
        <v>3</v>
      </c>
    </row>
    <row r="27" spans="1:14" x14ac:dyDescent="0.25">
      <c r="A27" s="1" t="s">
        <v>328</v>
      </c>
      <c r="B27" t="s">
        <v>336</v>
      </c>
      <c r="C27">
        <v>1380</v>
      </c>
      <c r="D27">
        <v>3</v>
      </c>
      <c r="E27">
        <v>50</v>
      </c>
      <c r="F27">
        <v>65</v>
      </c>
      <c r="G27">
        <v>0.28999999999999998</v>
      </c>
      <c r="H27">
        <v>65</v>
      </c>
      <c r="I27">
        <v>1200</v>
      </c>
      <c r="J27">
        <v>120</v>
      </c>
      <c r="K27">
        <v>2</v>
      </c>
      <c r="L27">
        <v>3</v>
      </c>
      <c r="M27">
        <v>3</v>
      </c>
      <c r="N27">
        <v>5</v>
      </c>
    </row>
    <row r="28" spans="1:14" x14ac:dyDescent="0.25">
      <c r="A28" s="1" t="s">
        <v>328</v>
      </c>
      <c r="B28" t="s">
        <v>337</v>
      </c>
      <c r="C28">
        <v>1410</v>
      </c>
      <c r="D28">
        <v>3</v>
      </c>
      <c r="E28">
        <v>60</v>
      </c>
      <c r="F28">
        <v>70</v>
      </c>
      <c r="G28">
        <v>0.31</v>
      </c>
      <c r="H28">
        <v>110</v>
      </c>
      <c r="I28">
        <v>1500</v>
      </c>
      <c r="J28">
        <v>110</v>
      </c>
      <c r="K28">
        <v>2</v>
      </c>
      <c r="L28">
        <v>3</v>
      </c>
      <c r="M28">
        <v>2</v>
      </c>
      <c r="N28">
        <v>4</v>
      </c>
    </row>
    <row r="29" spans="1:14" x14ac:dyDescent="0.25">
      <c r="A29" s="1" t="s">
        <v>328</v>
      </c>
      <c r="B29" t="s">
        <v>338</v>
      </c>
      <c r="C29">
        <v>1320</v>
      </c>
      <c r="D29">
        <v>3.8</v>
      </c>
      <c r="E29">
        <v>90</v>
      </c>
      <c r="F29">
        <v>100</v>
      </c>
      <c r="G29">
        <v>0.25</v>
      </c>
      <c r="H29">
        <v>50</v>
      </c>
      <c r="I29">
        <v>1350</v>
      </c>
      <c r="J29">
        <v>250</v>
      </c>
      <c r="K29">
        <v>5</v>
      </c>
      <c r="L29">
        <v>2</v>
      </c>
      <c r="M29">
        <v>5</v>
      </c>
      <c r="N29">
        <v>3</v>
      </c>
    </row>
    <row r="30" spans="1:14" x14ac:dyDescent="0.25">
      <c r="A30" s="1" t="s">
        <v>329</v>
      </c>
      <c r="B30" t="s">
        <v>339</v>
      </c>
      <c r="C30">
        <v>1050</v>
      </c>
      <c r="D30">
        <v>3</v>
      </c>
      <c r="F30">
        <v>55</v>
      </c>
      <c r="G30">
        <v>0.15</v>
      </c>
      <c r="H30">
        <v>60</v>
      </c>
      <c r="I30">
        <v>1200</v>
      </c>
      <c r="J30">
        <v>80</v>
      </c>
      <c r="K30">
        <v>1</v>
      </c>
      <c r="L30">
        <v>4</v>
      </c>
      <c r="M30">
        <v>2</v>
      </c>
      <c r="N30">
        <v>2</v>
      </c>
    </row>
    <row r="31" spans="1:14" x14ac:dyDescent="0.25">
      <c r="A31" s="1" t="s">
        <v>329</v>
      </c>
      <c r="B31" t="s">
        <v>340</v>
      </c>
      <c r="C31">
        <v>1380</v>
      </c>
      <c r="D31">
        <v>3</v>
      </c>
      <c r="F31">
        <v>55</v>
      </c>
      <c r="G31">
        <v>0.14000000000000001</v>
      </c>
      <c r="H31">
        <v>80</v>
      </c>
      <c r="I31">
        <v>1000</v>
      </c>
      <c r="J31">
        <v>70</v>
      </c>
      <c r="K31">
        <v>2</v>
      </c>
      <c r="L31">
        <v>2</v>
      </c>
      <c r="M31">
        <v>4</v>
      </c>
      <c r="N31">
        <v>3</v>
      </c>
    </row>
    <row r="32" spans="1:14" x14ac:dyDescent="0.25">
      <c r="A32" s="1" t="s">
        <v>329</v>
      </c>
      <c r="B32" t="s">
        <v>341</v>
      </c>
      <c r="C32">
        <v>1200</v>
      </c>
      <c r="D32">
        <v>2.4</v>
      </c>
      <c r="E32">
        <v>60</v>
      </c>
      <c r="F32">
        <v>70</v>
      </c>
      <c r="G32">
        <v>0.19</v>
      </c>
      <c r="H32">
        <v>70</v>
      </c>
      <c r="I32">
        <v>1200</v>
      </c>
      <c r="J32">
        <v>120</v>
      </c>
      <c r="K32">
        <v>3</v>
      </c>
      <c r="L32">
        <v>3</v>
      </c>
      <c r="M32">
        <v>2</v>
      </c>
      <c r="N32">
        <v>3</v>
      </c>
    </row>
    <row r="33" spans="1:14" x14ac:dyDescent="0.25">
      <c r="A33" s="1" t="s">
        <v>329</v>
      </c>
      <c r="B33" t="s">
        <v>342</v>
      </c>
      <c r="C33">
        <v>1180</v>
      </c>
      <c r="D33">
        <v>3.2</v>
      </c>
      <c r="F33">
        <v>70</v>
      </c>
      <c r="G33">
        <v>0.19</v>
      </c>
      <c r="H33">
        <v>75</v>
      </c>
      <c r="I33">
        <v>1400</v>
      </c>
      <c r="J33">
        <v>90</v>
      </c>
      <c r="K33">
        <v>2</v>
      </c>
      <c r="L33">
        <v>3</v>
      </c>
      <c r="M33">
        <v>2</v>
      </c>
      <c r="N33">
        <v>3</v>
      </c>
    </row>
    <row r="34" spans="1:14" x14ac:dyDescent="0.25">
      <c r="A34" s="1" t="s">
        <v>329</v>
      </c>
      <c r="B34" t="s">
        <v>343</v>
      </c>
      <c r="C34">
        <v>1050</v>
      </c>
      <c r="D34">
        <v>2.2999999999999998</v>
      </c>
      <c r="E34">
        <v>40</v>
      </c>
      <c r="F34">
        <v>45</v>
      </c>
      <c r="G34">
        <v>0.18</v>
      </c>
      <c r="H34">
        <v>80</v>
      </c>
      <c r="I34">
        <v>1300</v>
      </c>
      <c r="J34">
        <v>90</v>
      </c>
      <c r="K34">
        <v>2</v>
      </c>
      <c r="L34">
        <v>3</v>
      </c>
      <c r="M34">
        <v>3</v>
      </c>
      <c r="N34">
        <v>4</v>
      </c>
    </row>
    <row r="35" spans="1:14" x14ac:dyDescent="0.25">
      <c r="A35" s="1" t="s">
        <v>344</v>
      </c>
      <c r="B35" t="s">
        <v>345</v>
      </c>
      <c r="C35">
        <v>1200</v>
      </c>
      <c r="D35">
        <v>3</v>
      </c>
      <c r="F35">
        <v>70</v>
      </c>
      <c r="G35">
        <v>0.2</v>
      </c>
      <c r="H35">
        <v>60</v>
      </c>
      <c r="I35">
        <v>1100</v>
      </c>
      <c r="J35">
        <v>150</v>
      </c>
      <c r="K35">
        <v>3</v>
      </c>
      <c r="L35">
        <v>2</v>
      </c>
      <c r="M35">
        <v>3</v>
      </c>
      <c r="N35">
        <v>1</v>
      </c>
    </row>
    <row r="36" spans="1:14" x14ac:dyDescent="0.25">
      <c r="A36" s="1" t="s">
        <v>344</v>
      </c>
      <c r="B36" t="s">
        <v>346</v>
      </c>
      <c r="C36">
        <v>1430</v>
      </c>
      <c r="D36">
        <v>3.5</v>
      </c>
      <c r="F36">
        <v>110</v>
      </c>
      <c r="G36">
        <v>0.19</v>
      </c>
      <c r="H36">
        <v>50</v>
      </c>
      <c r="I36">
        <v>1100</v>
      </c>
      <c r="J36">
        <v>260</v>
      </c>
      <c r="K36">
        <v>5</v>
      </c>
      <c r="L36">
        <v>1</v>
      </c>
      <c r="M36">
        <v>3</v>
      </c>
      <c r="N36">
        <v>1</v>
      </c>
    </row>
    <row r="40" spans="1:14" x14ac:dyDescent="0.25">
      <c r="A40" s="1"/>
      <c r="B40" s="1" t="s">
        <v>137</v>
      </c>
      <c r="C40" s="2"/>
      <c r="J40" s="9"/>
    </row>
    <row r="41" spans="1:14" x14ac:dyDescent="0.25">
      <c r="A41" s="1" t="s">
        <v>305</v>
      </c>
      <c r="B41" t="s">
        <v>306</v>
      </c>
      <c r="C41">
        <v>2780</v>
      </c>
      <c r="D41">
        <v>73</v>
      </c>
      <c r="E41">
        <v>345</v>
      </c>
      <c r="F41">
        <v>483</v>
      </c>
      <c r="G41">
        <v>121</v>
      </c>
      <c r="H41" s="33">
        <v>23</v>
      </c>
      <c r="I41" s="33">
        <v>875</v>
      </c>
      <c r="J41" s="33">
        <v>120</v>
      </c>
      <c r="K41">
        <v>3</v>
      </c>
      <c r="L41">
        <v>4</v>
      </c>
      <c r="M41">
        <v>2</v>
      </c>
      <c r="N41">
        <v>5</v>
      </c>
    </row>
    <row r="42" spans="1:14" x14ac:dyDescent="0.25">
      <c r="B42" t="s">
        <v>307</v>
      </c>
      <c r="C42">
        <v>2680</v>
      </c>
      <c r="D42">
        <v>70</v>
      </c>
      <c r="E42">
        <v>193</v>
      </c>
      <c r="F42">
        <v>228</v>
      </c>
      <c r="G42">
        <v>138</v>
      </c>
      <c r="H42" s="33">
        <v>23</v>
      </c>
      <c r="I42" s="33">
        <v>900</v>
      </c>
      <c r="J42" s="33">
        <v>150</v>
      </c>
      <c r="K42">
        <v>2</v>
      </c>
      <c r="L42">
        <v>4</v>
      </c>
      <c r="M42">
        <v>4</v>
      </c>
      <c r="N42">
        <v>5</v>
      </c>
    </row>
    <row r="43" spans="1:14" x14ac:dyDescent="0.25">
      <c r="B43" t="s">
        <v>308</v>
      </c>
      <c r="C43">
        <v>2700</v>
      </c>
      <c r="D43">
        <v>69</v>
      </c>
      <c r="E43">
        <v>276</v>
      </c>
      <c r="F43">
        <v>310</v>
      </c>
      <c r="G43">
        <v>170</v>
      </c>
      <c r="H43" s="33">
        <v>23</v>
      </c>
      <c r="I43" s="33">
        <v>900</v>
      </c>
      <c r="J43" s="33">
        <v>150</v>
      </c>
      <c r="K43" s="33">
        <v>2</v>
      </c>
      <c r="L43" s="33">
        <v>4</v>
      </c>
      <c r="M43" s="33">
        <v>3</v>
      </c>
      <c r="N43" s="33">
        <v>5</v>
      </c>
    </row>
    <row r="44" spans="1:14" x14ac:dyDescent="0.25">
      <c r="B44" t="s">
        <v>309</v>
      </c>
      <c r="C44">
        <v>2810</v>
      </c>
      <c r="D44">
        <v>71</v>
      </c>
      <c r="E44">
        <v>503</v>
      </c>
      <c r="F44">
        <v>572</v>
      </c>
      <c r="G44">
        <v>130</v>
      </c>
      <c r="H44" s="33">
        <v>23</v>
      </c>
      <c r="I44" s="33">
        <v>875</v>
      </c>
      <c r="J44" s="33">
        <v>150</v>
      </c>
      <c r="K44" s="33">
        <v>3</v>
      </c>
      <c r="L44" s="33">
        <v>3</v>
      </c>
      <c r="M44" s="33">
        <v>2</v>
      </c>
      <c r="N44" s="33">
        <v>5</v>
      </c>
    </row>
    <row r="45" spans="1:14" x14ac:dyDescent="0.25">
      <c r="B45" t="s">
        <v>310</v>
      </c>
      <c r="C45">
        <v>2680</v>
      </c>
      <c r="D45">
        <v>71</v>
      </c>
      <c r="E45">
        <v>170</v>
      </c>
      <c r="F45">
        <v>290</v>
      </c>
      <c r="G45">
        <v>150</v>
      </c>
      <c r="H45" s="33">
        <v>21</v>
      </c>
      <c r="I45" s="33">
        <v>940</v>
      </c>
      <c r="J45" s="33">
        <v>150</v>
      </c>
      <c r="K45" s="33">
        <v>2</v>
      </c>
      <c r="L45" s="33">
        <v>4</v>
      </c>
      <c r="M45" s="33">
        <v>3</v>
      </c>
      <c r="N45" s="33">
        <v>5</v>
      </c>
    </row>
    <row r="46" spans="1:14" x14ac:dyDescent="0.25">
      <c r="A46" t="s">
        <v>311</v>
      </c>
      <c r="B46" t="s">
        <v>312</v>
      </c>
      <c r="C46">
        <v>7870</v>
      </c>
      <c r="D46">
        <v>205</v>
      </c>
      <c r="E46">
        <v>350</v>
      </c>
      <c r="F46">
        <v>420</v>
      </c>
      <c r="G46">
        <v>50</v>
      </c>
      <c r="H46" s="33">
        <v>12</v>
      </c>
      <c r="I46" s="33">
        <v>486</v>
      </c>
      <c r="J46" s="33">
        <v>450</v>
      </c>
      <c r="K46" s="33">
        <v>1</v>
      </c>
      <c r="L46" s="33">
        <v>4</v>
      </c>
      <c r="M46" s="33">
        <v>1</v>
      </c>
      <c r="N46" s="33">
        <v>5</v>
      </c>
    </row>
    <row r="47" spans="1:14" x14ac:dyDescent="0.25">
      <c r="B47" t="s">
        <v>313</v>
      </c>
      <c r="C47">
        <v>7850</v>
      </c>
      <c r="D47">
        <v>205</v>
      </c>
      <c r="E47">
        <v>530</v>
      </c>
      <c r="F47">
        <v>625</v>
      </c>
      <c r="G47">
        <v>50</v>
      </c>
      <c r="H47" s="33">
        <v>12</v>
      </c>
      <c r="I47" s="33">
        <v>486</v>
      </c>
      <c r="J47" s="33">
        <v>450</v>
      </c>
      <c r="K47" s="33">
        <v>2</v>
      </c>
      <c r="L47" s="33">
        <v>3</v>
      </c>
      <c r="M47" s="33">
        <v>1</v>
      </c>
      <c r="N47" s="33">
        <v>5</v>
      </c>
    </row>
    <row r="48" spans="1:14" x14ac:dyDescent="0.25">
      <c r="A48" t="s">
        <v>314</v>
      </c>
      <c r="B48" t="s">
        <v>315</v>
      </c>
      <c r="C48">
        <v>7800</v>
      </c>
      <c r="D48">
        <v>210</v>
      </c>
      <c r="E48">
        <v>1300</v>
      </c>
      <c r="F48">
        <v>1550</v>
      </c>
      <c r="G48">
        <v>29</v>
      </c>
      <c r="H48" s="33">
        <v>12</v>
      </c>
      <c r="I48" s="33">
        <v>460</v>
      </c>
      <c r="J48" s="33">
        <v>600</v>
      </c>
      <c r="K48" s="33">
        <v>4</v>
      </c>
      <c r="L48" s="33">
        <v>2</v>
      </c>
      <c r="M48" s="33">
        <v>2</v>
      </c>
      <c r="N48" s="33">
        <v>4</v>
      </c>
    </row>
    <row r="49" spans="1:14" x14ac:dyDescent="0.25">
      <c r="A49" s="30" t="s">
        <v>316</v>
      </c>
      <c r="B49" s="9">
        <v>304</v>
      </c>
      <c r="C49">
        <v>8000</v>
      </c>
      <c r="D49">
        <v>193</v>
      </c>
      <c r="E49">
        <v>240</v>
      </c>
      <c r="F49">
        <v>620</v>
      </c>
      <c r="G49">
        <v>16</v>
      </c>
      <c r="H49" s="33">
        <v>17</v>
      </c>
      <c r="I49" s="33">
        <v>500</v>
      </c>
      <c r="J49" s="33">
        <v>650</v>
      </c>
      <c r="K49" s="33">
        <v>4</v>
      </c>
      <c r="L49" s="33">
        <v>2</v>
      </c>
      <c r="M49" s="33">
        <v>5</v>
      </c>
      <c r="N49" s="33">
        <v>5</v>
      </c>
    </row>
    <row r="50" spans="1:14" x14ac:dyDescent="0.25">
      <c r="A50" s="30" t="s">
        <v>316</v>
      </c>
      <c r="B50" s="9">
        <v>316</v>
      </c>
      <c r="C50">
        <v>8000</v>
      </c>
      <c r="D50">
        <v>193</v>
      </c>
      <c r="E50">
        <v>230</v>
      </c>
      <c r="F50">
        <v>580</v>
      </c>
      <c r="G50">
        <v>15</v>
      </c>
      <c r="H50" s="33">
        <v>16</v>
      </c>
      <c r="I50" s="33">
        <v>500</v>
      </c>
      <c r="J50" s="33">
        <v>650</v>
      </c>
      <c r="K50" s="33">
        <v>4</v>
      </c>
      <c r="L50" s="33">
        <v>2</v>
      </c>
      <c r="M50" s="33">
        <v>5</v>
      </c>
      <c r="N50" s="33">
        <v>5</v>
      </c>
    </row>
    <row r="51" spans="1:14" x14ac:dyDescent="0.25">
      <c r="B51" t="s">
        <v>317</v>
      </c>
      <c r="C51">
        <v>7200</v>
      </c>
      <c r="D51">
        <v>120</v>
      </c>
      <c r="F51">
        <v>200</v>
      </c>
      <c r="G51">
        <v>45</v>
      </c>
      <c r="H51" s="33">
        <v>10</v>
      </c>
      <c r="I51" s="33">
        <v>460</v>
      </c>
      <c r="J51" s="33">
        <v>400</v>
      </c>
      <c r="K51" s="33">
        <v>2</v>
      </c>
      <c r="L51" s="33">
        <v>4</v>
      </c>
      <c r="M51" s="33">
        <v>3</v>
      </c>
      <c r="N51" s="33">
        <v>3</v>
      </c>
    </row>
    <row r="52" spans="1:14" x14ac:dyDescent="0.25">
      <c r="B52" t="s">
        <v>318</v>
      </c>
      <c r="C52">
        <v>8190</v>
      </c>
      <c r="D52">
        <v>200</v>
      </c>
      <c r="E52">
        <v>1100</v>
      </c>
      <c r="F52">
        <v>1240</v>
      </c>
      <c r="G52">
        <v>11</v>
      </c>
      <c r="H52" s="33">
        <v>13</v>
      </c>
      <c r="I52" s="33">
        <v>435</v>
      </c>
      <c r="J52" s="33">
        <v>650</v>
      </c>
      <c r="K52" s="33">
        <v>5</v>
      </c>
      <c r="L52" s="33">
        <v>1</v>
      </c>
      <c r="M52" s="33">
        <v>5</v>
      </c>
      <c r="N52" s="33">
        <v>3</v>
      </c>
    </row>
    <row r="53" spans="1:14" x14ac:dyDescent="0.25">
      <c r="B53" t="s">
        <v>319</v>
      </c>
      <c r="C53">
        <v>4430</v>
      </c>
      <c r="D53">
        <v>114</v>
      </c>
      <c r="E53">
        <v>880</v>
      </c>
      <c r="F53">
        <v>950</v>
      </c>
      <c r="G53">
        <v>7</v>
      </c>
      <c r="H53" s="33">
        <v>9</v>
      </c>
      <c r="I53" s="33">
        <v>560</v>
      </c>
      <c r="J53" s="33">
        <v>400</v>
      </c>
      <c r="K53" s="33">
        <v>5</v>
      </c>
      <c r="L53" s="33">
        <v>2</v>
      </c>
      <c r="M53" s="33">
        <v>5</v>
      </c>
      <c r="N53" s="33">
        <v>4</v>
      </c>
    </row>
    <row r="54" spans="1:14" x14ac:dyDescent="0.25">
      <c r="B54" t="s">
        <v>320</v>
      </c>
      <c r="C54">
        <v>1770</v>
      </c>
      <c r="D54">
        <v>45</v>
      </c>
      <c r="E54">
        <v>200</v>
      </c>
      <c r="F54">
        <v>260</v>
      </c>
      <c r="G54">
        <v>96</v>
      </c>
      <c r="H54" s="33">
        <v>26</v>
      </c>
      <c r="I54" s="33">
        <v>1020</v>
      </c>
      <c r="J54" s="33">
        <v>120</v>
      </c>
      <c r="K54" s="33">
        <v>2</v>
      </c>
      <c r="L54" s="33">
        <v>4</v>
      </c>
      <c r="M54" s="33">
        <v>1</v>
      </c>
      <c r="N54" s="33">
        <v>3</v>
      </c>
    </row>
    <row r="55" spans="1:14" x14ac:dyDescent="0.25">
      <c r="B55" t="s">
        <v>321</v>
      </c>
      <c r="C55">
        <v>8530</v>
      </c>
      <c r="D55">
        <v>105</v>
      </c>
      <c r="E55">
        <v>300</v>
      </c>
      <c r="F55">
        <v>450</v>
      </c>
      <c r="G55">
        <v>120</v>
      </c>
      <c r="H55" s="33">
        <v>20</v>
      </c>
      <c r="I55" s="33">
        <v>380</v>
      </c>
      <c r="J55" s="33">
        <v>200</v>
      </c>
      <c r="K55" s="33">
        <v>2</v>
      </c>
      <c r="L55" s="33">
        <v>5</v>
      </c>
      <c r="M55" s="33">
        <v>4</v>
      </c>
      <c r="N55" s="33">
        <v>5</v>
      </c>
    </row>
    <row r="56" spans="1:14" x14ac:dyDescent="0.25">
      <c r="B56" t="s">
        <v>322</v>
      </c>
      <c r="C56">
        <v>8800</v>
      </c>
      <c r="D56">
        <v>100</v>
      </c>
      <c r="E56">
        <v>170</v>
      </c>
      <c r="F56">
        <v>280</v>
      </c>
      <c r="G56">
        <v>60</v>
      </c>
      <c r="H56" s="33">
        <v>18</v>
      </c>
      <c r="I56" s="33">
        <v>380</v>
      </c>
      <c r="J56" s="33">
        <v>200</v>
      </c>
      <c r="K56" s="33">
        <v>3</v>
      </c>
      <c r="L56" s="33">
        <v>3</v>
      </c>
      <c r="M56" s="33">
        <v>3</v>
      </c>
      <c r="N56" s="33">
        <v>4</v>
      </c>
    </row>
    <row r="57" spans="1:14" x14ac:dyDescent="0.25">
      <c r="H57" s="2"/>
      <c r="I57" s="2"/>
      <c r="J57" s="2"/>
    </row>
    <row r="58" spans="1:14" x14ac:dyDescent="0.25">
      <c r="B58" s="1" t="s">
        <v>323</v>
      </c>
      <c r="H58" s="2"/>
      <c r="I58" s="2"/>
      <c r="J58" s="2"/>
    </row>
    <row r="59" spans="1:14" x14ac:dyDescent="0.25">
      <c r="B59" t="s">
        <v>90</v>
      </c>
      <c r="C59">
        <v>8960</v>
      </c>
      <c r="D59">
        <v>110</v>
      </c>
      <c r="E59">
        <v>70</v>
      </c>
      <c r="F59">
        <v>220</v>
      </c>
      <c r="G59">
        <v>400</v>
      </c>
      <c r="H59" s="2">
        <v>17</v>
      </c>
      <c r="I59" s="2">
        <v>385</v>
      </c>
      <c r="J59" s="2">
        <v>200</v>
      </c>
      <c r="K59" s="33">
        <v>3</v>
      </c>
      <c r="L59" s="33">
        <v>3</v>
      </c>
      <c r="M59" s="33">
        <v>3</v>
      </c>
      <c r="N59" s="33">
        <v>4</v>
      </c>
    </row>
    <row r="60" spans="1:14" x14ac:dyDescent="0.25">
      <c r="B60" t="s">
        <v>97</v>
      </c>
      <c r="C60">
        <v>7130</v>
      </c>
      <c r="D60">
        <v>100</v>
      </c>
      <c r="F60">
        <v>150</v>
      </c>
      <c r="G60">
        <v>116</v>
      </c>
      <c r="H60" s="2">
        <v>30</v>
      </c>
      <c r="I60" s="2">
        <v>390</v>
      </c>
      <c r="J60" s="2">
        <v>200</v>
      </c>
      <c r="K60" s="33">
        <v>2</v>
      </c>
      <c r="L60" s="33">
        <v>4</v>
      </c>
      <c r="M60" s="33">
        <v>2</v>
      </c>
      <c r="N60" s="33">
        <v>4</v>
      </c>
    </row>
    <row r="61" spans="1:14" x14ac:dyDescent="0.25">
      <c r="B61" t="s">
        <v>102</v>
      </c>
      <c r="C61">
        <v>11340</v>
      </c>
      <c r="D61">
        <v>16</v>
      </c>
      <c r="E61">
        <v>20</v>
      </c>
      <c r="F61">
        <v>25</v>
      </c>
      <c r="G61">
        <v>35</v>
      </c>
      <c r="H61" s="2">
        <v>29</v>
      </c>
      <c r="I61" s="2">
        <v>130</v>
      </c>
      <c r="J61" s="2">
        <v>120</v>
      </c>
      <c r="K61" s="33">
        <v>2</v>
      </c>
      <c r="L61" s="33">
        <v>5</v>
      </c>
      <c r="M61" s="33">
        <v>3</v>
      </c>
      <c r="N61" s="33">
        <v>4</v>
      </c>
    </row>
    <row r="62" spans="1:14" x14ac:dyDescent="0.25">
      <c r="B62" t="s">
        <v>324</v>
      </c>
      <c r="C62">
        <v>7310</v>
      </c>
      <c r="D62">
        <v>50</v>
      </c>
      <c r="E62">
        <v>15</v>
      </c>
      <c r="F62">
        <v>30</v>
      </c>
      <c r="G62">
        <v>67</v>
      </c>
      <c r="H62" s="2">
        <v>25</v>
      </c>
      <c r="I62" s="2">
        <v>230</v>
      </c>
      <c r="J62" s="2">
        <v>120</v>
      </c>
      <c r="K62" s="33">
        <v>2</v>
      </c>
      <c r="L62" s="33">
        <v>4</v>
      </c>
      <c r="M62" s="33">
        <v>4</v>
      </c>
      <c r="N62" s="33">
        <v>4</v>
      </c>
    </row>
    <row r="63" spans="1:14" x14ac:dyDescent="0.25">
      <c r="B63" t="s">
        <v>119</v>
      </c>
      <c r="C63">
        <v>19300</v>
      </c>
      <c r="D63">
        <v>80</v>
      </c>
      <c r="E63">
        <v>100</v>
      </c>
      <c r="F63">
        <v>140</v>
      </c>
      <c r="G63">
        <v>320</v>
      </c>
      <c r="H63" s="2">
        <v>14</v>
      </c>
      <c r="I63" s="2">
        <v>130</v>
      </c>
      <c r="J63" s="2">
        <v>300</v>
      </c>
      <c r="K63" s="33">
        <v>5</v>
      </c>
      <c r="L63" s="33">
        <v>3</v>
      </c>
      <c r="M63" s="33">
        <v>5</v>
      </c>
      <c r="N63" s="33">
        <v>2</v>
      </c>
    </row>
    <row r="64" spans="1:14" x14ac:dyDescent="0.25">
      <c r="B64" t="s">
        <v>131</v>
      </c>
      <c r="C64">
        <v>10490</v>
      </c>
      <c r="D64">
        <v>83</v>
      </c>
      <c r="E64">
        <v>55</v>
      </c>
      <c r="F64">
        <v>170</v>
      </c>
      <c r="G64">
        <v>430</v>
      </c>
      <c r="H64" s="2">
        <v>19</v>
      </c>
      <c r="I64" s="2">
        <v>235</v>
      </c>
      <c r="J64" s="2">
        <v>300</v>
      </c>
      <c r="K64" s="33">
        <v>5</v>
      </c>
      <c r="L64" s="33">
        <v>3</v>
      </c>
      <c r="M64" s="33">
        <v>3</v>
      </c>
      <c r="N64" s="33">
        <v>3</v>
      </c>
    </row>
    <row r="65" spans="1:14" x14ac:dyDescent="0.25">
      <c r="B65" t="s">
        <v>325</v>
      </c>
      <c r="C65">
        <v>21450</v>
      </c>
      <c r="D65">
        <v>170</v>
      </c>
      <c r="E65">
        <v>70</v>
      </c>
      <c r="F65">
        <v>160</v>
      </c>
      <c r="G65">
        <v>72</v>
      </c>
      <c r="H65" s="2">
        <v>9</v>
      </c>
      <c r="I65" s="2">
        <v>130</v>
      </c>
      <c r="J65" s="2">
        <v>1000</v>
      </c>
      <c r="K65" s="33">
        <v>5</v>
      </c>
      <c r="L65" s="33">
        <v>2</v>
      </c>
      <c r="M65" s="33">
        <v>5</v>
      </c>
      <c r="N65" s="33">
        <v>2</v>
      </c>
    </row>
    <row r="68" spans="1:14" x14ac:dyDescent="0.25">
      <c r="A68" s="1" t="s">
        <v>207</v>
      </c>
      <c r="B68" t="s">
        <v>134</v>
      </c>
      <c r="C68" s="2">
        <v>8.4</v>
      </c>
    </row>
    <row r="69" spans="1:14" x14ac:dyDescent="0.25">
      <c r="A69" s="1" t="s">
        <v>207</v>
      </c>
      <c r="B69" t="s">
        <v>135</v>
      </c>
      <c r="C69" s="2">
        <v>8</v>
      </c>
    </row>
    <row r="70" spans="1:14" x14ac:dyDescent="0.25">
      <c r="A70" s="1" t="s">
        <v>207</v>
      </c>
      <c r="B70" t="s">
        <v>136</v>
      </c>
      <c r="C70" s="2">
        <v>8.44</v>
      </c>
    </row>
    <row r="71" spans="1:14" x14ac:dyDescent="0.25">
      <c r="A71" s="1" t="s">
        <v>207</v>
      </c>
      <c r="B71" t="s">
        <v>163</v>
      </c>
      <c r="C71" s="2">
        <v>7.85</v>
      </c>
    </row>
    <row r="72" spans="1:14" x14ac:dyDescent="0.25">
      <c r="A72" s="1" t="s">
        <v>207</v>
      </c>
      <c r="B72" t="s">
        <v>161</v>
      </c>
      <c r="C72" s="2">
        <v>7.85</v>
      </c>
    </row>
    <row r="73" spans="1:14" x14ac:dyDescent="0.25">
      <c r="A73" s="1" t="s">
        <v>207</v>
      </c>
      <c r="B73" t="s">
        <v>162</v>
      </c>
      <c r="C73" s="2">
        <v>7.85</v>
      </c>
    </row>
    <row r="74" spans="1:14" x14ac:dyDescent="0.25">
      <c r="A74" s="1" t="s">
        <v>155</v>
      </c>
      <c r="B74" t="s">
        <v>154</v>
      </c>
      <c r="C74" s="2">
        <v>7.93</v>
      </c>
    </row>
    <row r="75" spans="1:14" x14ac:dyDescent="0.25">
      <c r="A75" s="1" t="s">
        <v>155</v>
      </c>
      <c r="B75" t="s">
        <v>189</v>
      </c>
      <c r="C75" s="2">
        <v>7.7</v>
      </c>
    </row>
    <row r="76" spans="1:14" x14ac:dyDescent="0.25">
      <c r="A76" s="1" t="s">
        <v>155</v>
      </c>
      <c r="B76" t="s">
        <v>156</v>
      </c>
      <c r="C76" s="2">
        <v>7.7</v>
      </c>
    </row>
    <row r="78" spans="1:14" x14ac:dyDescent="0.25">
      <c r="C78" s="2"/>
    </row>
    <row r="79" spans="1:14" x14ac:dyDescent="0.25">
      <c r="C79" s="2"/>
    </row>
    <row r="80" spans="1:14" x14ac:dyDescent="0.25">
      <c r="A80" s="1" t="s">
        <v>62</v>
      </c>
      <c r="B80" t="s">
        <v>63</v>
      </c>
      <c r="C80" s="2">
        <v>1.74</v>
      </c>
    </row>
    <row r="81" spans="1:3" x14ac:dyDescent="0.25">
      <c r="A81" s="1" t="s">
        <v>62</v>
      </c>
      <c r="B81" t="s">
        <v>69</v>
      </c>
      <c r="C81" s="2">
        <v>4.51</v>
      </c>
    </row>
    <row r="82" spans="1:3" x14ac:dyDescent="0.25">
      <c r="A82" s="1" t="s">
        <v>62</v>
      </c>
      <c r="B82" t="s">
        <v>75</v>
      </c>
      <c r="C82" s="2">
        <v>7.87</v>
      </c>
    </row>
    <row r="83" spans="1:3" x14ac:dyDescent="0.25">
      <c r="A83" s="1" t="s">
        <v>62</v>
      </c>
      <c r="B83" t="s">
        <v>85</v>
      </c>
      <c r="C83" s="2">
        <v>8.9</v>
      </c>
    </row>
    <row r="84" spans="1:3" x14ac:dyDescent="0.25">
      <c r="A84" s="1" t="s">
        <v>62</v>
      </c>
      <c r="B84" t="s">
        <v>90</v>
      </c>
      <c r="C84" s="2">
        <v>8.9600000000000009</v>
      </c>
    </row>
    <row r="85" spans="1:3" x14ac:dyDescent="0.25">
      <c r="A85" s="1" t="s">
        <v>62</v>
      </c>
      <c r="B85" t="s">
        <v>97</v>
      </c>
      <c r="C85" s="2">
        <v>7.14</v>
      </c>
    </row>
    <row r="86" spans="1:3" x14ac:dyDescent="0.25">
      <c r="A86" s="1" t="s">
        <v>62</v>
      </c>
      <c r="B86" t="s">
        <v>101</v>
      </c>
      <c r="C86" s="2">
        <v>2.7</v>
      </c>
    </row>
    <row r="87" spans="1:3" x14ac:dyDescent="0.25">
      <c r="A87" s="1" t="s">
        <v>62</v>
      </c>
      <c r="B87" t="s">
        <v>102</v>
      </c>
      <c r="C87" s="2">
        <v>11.34</v>
      </c>
    </row>
    <row r="88" spans="1:3" x14ac:dyDescent="0.25">
      <c r="A88" s="1"/>
      <c r="C88" s="2"/>
    </row>
    <row r="89" spans="1:3" x14ac:dyDescent="0.25">
      <c r="A89" s="1" t="s">
        <v>62</v>
      </c>
      <c r="B89" t="s">
        <v>110</v>
      </c>
      <c r="C89" s="2">
        <v>1.85</v>
      </c>
    </row>
    <row r="90" spans="1:3" x14ac:dyDescent="0.25">
      <c r="A90" s="1" t="s">
        <v>62</v>
      </c>
      <c r="B90" t="s">
        <v>114</v>
      </c>
      <c r="C90" s="2">
        <v>7.19</v>
      </c>
    </row>
    <row r="91" spans="1:3" x14ac:dyDescent="0.25">
      <c r="A91" s="1" t="s">
        <v>62</v>
      </c>
      <c r="B91" t="s">
        <v>119</v>
      </c>
      <c r="C91" s="2">
        <v>19.32</v>
      </c>
    </row>
    <row r="92" spans="1:3" x14ac:dyDescent="0.25">
      <c r="A92" s="1" t="s">
        <v>62</v>
      </c>
      <c r="B92" t="s">
        <v>125</v>
      </c>
      <c r="C92" s="2">
        <v>10.220000000000001</v>
      </c>
    </row>
    <row r="93" spans="1:3" x14ac:dyDescent="0.25">
      <c r="A93" s="1" t="s">
        <v>62</v>
      </c>
      <c r="B93" t="s">
        <v>131</v>
      </c>
      <c r="C93" s="2">
        <v>10.49</v>
      </c>
    </row>
    <row r="94" spans="1:3" x14ac:dyDescent="0.25">
      <c r="A94" s="1" t="s">
        <v>62</v>
      </c>
      <c r="B94" t="s">
        <v>167</v>
      </c>
      <c r="C94" s="2">
        <v>19.25</v>
      </c>
    </row>
    <row r="95" spans="1:3" x14ac:dyDescent="0.25">
      <c r="A95" s="1" t="s">
        <v>62</v>
      </c>
      <c r="B95" t="s">
        <v>166</v>
      </c>
      <c r="C95" s="2">
        <v>6.11</v>
      </c>
    </row>
    <row r="96" spans="1:3" x14ac:dyDescent="0.25">
      <c r="A96" s="1" t="s">
        <v>62</v>
      </c>
      <c r="B96" t="s">
        <v>160</v>
      </c>
      <c r="C96" s="2">
        <v>8.9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2031-0BFA-41E4-AA6E-D8A19607F08B}">
  <dimension ref="A1:M22"/>
  <sheetViews>
    <sheetView workbookViewId="0">
      <selection activeCell="R32" sqref="R32"/>
    </sheetView>
  </sheetViews>
  <sheetFormatPr defaultRowHeight="15" x14ac:dyDescent="0.25"/>
  <cols>
    <col min="1" max="1" width="24.140625" customWidth="1"/>
    <col min="2" max="2" width="11" customWidth="1"/>
    <col min="3" max="3" width="8.42578125" customWidth="1"/>
    <col min="4" max="4" width="9.140625" style="12"/>
    <col min="5" max="5" width="10.42578125" bestFit="1" customWidth="1"/>
    <col min="7" max="7" width="10.85546875" customWidth="1"/>
    <col min="8" max="8" width="12.85546875" customWidth="1"/>
  </cols>
  <sheetData>
    <row r="1" spans="1:13" s="2" customFormat="1" ht="30" x14ac:dyDescent="0.25">
      <c r="A1" s="2" t="s">
        <v>217</v>
      </c>
      <c r="B1" s="9" t="s">
        <v>157</v>
      </c>
      <c r="C1" s="9" t="s">
        <v>215</v>
      </c>
      <c r="D1" s="29" t="s">
        <v>210</v>
      </c>
      <c r="E1" s="16" t="s">
        <v>211</v>
      </c>
      <c r="F1" s="16" t="s">
        <v>85</v>
      </c>
      <c r="G1" s="16" t="s">
        <v>114</v>
      </c>
      <c r="H1" s="16" t="s">
        <v>214</v>
      </c>
      <c r="I1" s="16" t="s">
        <v>278</v>
      </c>
      <c r="J1" s="2" t="s">
        <v>216</v>
      </c>
      <c r="K1" s="2" t="s">
        <v>227</v>
      </c>
      <c r="L1" s="2" t="s">
        <v>225</v>
      </c>
      <c r="M1" s="2" t="s">
        <v>226</v>
      </c>
    </row>
    <row r="2" spans="1:13" x14ac:dyDescent="0.25">
      <c r="A2" s="9" t="s">
        <v>212</v>
      </c>
      <c r="B2" s="2" t="s">
        <v>212</v>
      </c>
      <c r="C2">
        <f>SUM(D2:J2)</f>
        <v>99</v>
      </c>
      <c r="D2" s="12">
        <v>53</v>
      </c>
      <c r="F2">
        <v>29</v>
      </c>
      <c r="I2">
        <v>17</v>
      </c>
    </row>
    <row r="3" spans="1:13" x14ac:dyDescent="0.25">
      <c r="A3" t="s">
        <v>228</v>
      </c>
      <c r="B3" s="2">
        <v>36</v>
      </c>
      <c r="C3">
        <f t="shared" ref="C3:C6" si="0">SUM(D3:J3)</f>
        <v>100</v>
      </c>
      <c r="D3" s="12">
        <v>64</v>
      </c>
      <c r="F3">
        <v>36</v>
      </c>
    </row>
    <row r="4" spans="1:13" x14ac:dyDescent="0.25">
      <c r="A4" t="s">
        <v>218</v>
      </c>
      <c r="B4" s="2">
        <v>600</v>
      </c>
      <c r="C4">
        <f t="shared" si="0"/>
        <v>98</v>
      </c>
      <c r="D4" s="12">
        <v>8.5</v>
      </c>
      <c r="F4">
        <v>74</v>
      </c>
      <c r="G4">
        <v>15.5</v>
      </c>
    </row>
    <row r="5" spans="1:13" x14ac:dyDescent="0.25">
      <c r="A5" t="s">
        <v>218</v>
      </c>
      <c r="B5" s="2">
        <v>625</v>
      </c>
      <c r="C5">
        <f t="shared" si="0"/>
        <v>100</v>
      </c>
      <c r="D5" s="12">
        <f>100 - SUM(E5:M5)</f>
        <v>4.8499999999999943</v>
      </c>
      <c r="F5">
        <v>58</v>
      </c>
      <c r="G5">
        <v>23</v>
      </c>
      <c r="H5">
        <v>10</v>
      </c>
      <c r="J5">
        <v>4.1500000000000004</v>
      </c>
    </row>
    <row r="6" spans="1:13" x14ac:dyDescent="0.25">
      <c r="A6" t="s">
        <v>218</v>
      </c>
      <c r="B6" s="2">
        <v>718</v>
      </c>
      <c r="C6">
        <f t="shared" si="0"/>
        <v>99.62</v>
      </c>
      <c r="D6" s="12">
        <f>100 - SUM(E6:M6)</f>
        <v>24.620000000000005</v>
      </c>
      <c r="F6">
        <v>50</v>
      </c>
      <c r="G6">
        <v>19</v>
      </c>
      <c r="H6">
        <v>1</v>
      </c>
      <c r="J6">
        <v>5</v>
      </c>
      <c r="K6">
        <v>0.35</v>
      </c>
      <c r="L6">
        <v>1.4999999999999999E-2</v>
      </c>
      <c r="M6">
        <v>1.4999999999999999E-2</v>
      </c>
    </row>
    <row r="7" spans="1:13" x14ac:dyDescent="0.25">
      <c r="B7" s="2"/>
    </row>
    <row r="8" spans="1:13" x14ac:dyDescent="0.25">
      <c r="A8" t="s">
        <v>220</v>
      </c>
      <c r="B8" s="2">
        <v>1010</v>
      </c>
      <c r="C8">
        <f>SUM(D8:M8)</f>
        <v>100</v>
      </c>
      <c r="D8" s="12">
        <f>100 - SUM(E8:M8)</f>
        <v>99.31</v>
      </c>
      <c r="E8">
        <v>0.1</v>
      </c>
      <c r="K8">
        <v>0.5</v>
      </c>
      <c r="L8">
        <v>0.04</v>
      </c>
      <c r="M8">
        <v>0.05</v>
      </c>
    </row>
    <row r="9" spans="1:13" x14ac:dyDescent="0.25">
      <c r="A9" t="s">
        <v>220</v>
      </c>
      <c r="B9" s="2">
        <v>1020</v>
      </c>
      <c r="C9">
        <f>SUM(D9:M9)</f>
        <v>100</v>
      </c>
      <c r="D9" s="12">
        <f t="shared" ref="D9:D22" si="1">100 - SUM(E9:M9)</f>
        <v>99.21</v>
      </c>
      <c r="E9">
        <v>0.2</v>
      </c>
      <c r="K9">
        <v>0.5</v>
      </c>
      <c r="L9">
        <v>0.04</v>
      </c>
      <c r="M9">
        <v>0.05</v>
      </c>
    </row>
    <row r="10" spans="1:13" x14ac:dyDescent="0.25">
      <c r="A10" t="s">
        <v>221</v>
      </c>
      <c r="B10" s="2">
        <v>1040</v>
      </c>
      <c r="C10">
        <f t="shared" ref="C10:C22" si="2">SUM(D10:M10)</f>
        <v>100</v>
      </c>
      <c r="D10" s="12">
        <f t="shared" si="1"/>
        <v>98.71</v>
      </c>
      <c r="E10">
        <v>0.4</v>
      </c>
      <c r="K10">
        <v>0.8</v>
      </c>
      <c r="L10">
        <v>0.04</v>
      </c>
      <c r="M10">
        <v>0.05</v>
      </c>
    </row>
    <row r="11" spans="1:13" x14ac:dyDescent="0.25">
      <c r="A11" t="s">
        <v>221</v>
      </c>
      <c r="B11" s="2">
        <v>1050</v>
      </c>
      <c r="C11">
        <f t="shared" si="2"/>
        <v>100</v>
      </c>
      <c r="D11" s="12">
        <f t="shared" si="1"/>
        <v>98.61</v>
      </c>
      <c r="E11">
        <v>0.5</v>
      </c>
      <c r="K11">
        <v>0.8</v>
      </c>
      <c r="L11">
        <v>0.04</v>
      </c>
      <c r="M11">
        <v>0.05</v>
      </c>
    </row>
    <row r="12" spans="1:13" x14ac:dyDescent="0.25">
      <c r="A12" t="s">
        <v>221</v>
      </c>
      <c r="B12" s="2">
        <v>1060</v>
      </c>
      <c r="C12">
        <f t="shared" si="2"/>
        <v>100</v>
      </c>
      <c r="D12" s="12">
        <f t="shared" si="1"/>
        <v>98.51</v>
      </c>
      <c r="E12">
        <v>0.6</v>
      </c>
      <c r="K12">
        <v>0.8</v>
      </c>
      <c r="L12">
        <v>0.04</v>
      </c>
      <c r="M12">
        <v>0.05</v>
      </c>
    </row>
    <row r="13" spans="1:13" x14ac:dyDescent="0.25">
      <c r="A13" t="s">
        <v>219</v>
      </c>
      <c r="B13" s="2">
        <v>1070</v>
      </c>
      <c r="C13">
        <f t="shared" si="2"/>
        <v>100</v>
      </c>
      <c r="D13" s="12">
        <f t="shared" si="1"/>
        <v>98.41</v>
      </c>
      <c r="E13">
        <v>0.7</v>
      </c>
      <c r="K13">
        <v>0.8</v>
      </c>
      <c r="L13">
        <v>0.04</v>
      </c>
      <c r="M13">
        <v>0.05</v>
      </c>
    </row>
    <row r="14" spans="1:13" x14ac:dyDescent="0.25">
      <c r="A14" t="s">
        <v>219</v>
      </c>
      <c r="B14" s="2">
        <v>1080</v>
      </c>
      <c r="C14">
        <f t="shared" si="2"/>
        <v>100</v>
      </c>
      <c r="D14" s="12">
        <f t="shared" si="1"/>
        <v>98.31</v>
      </c>
      <c r="E14">
        <v>0.8</v>
      </c>
      <c r="K14">
        <v>0.8</v>
      </c>
      <c r="L14">
        <v>0.04</v>
      </c>
      <c r="M14">
        <v>0.05</v>
      </c>
    </row>
    <row r="15" spans="1:13" x14ac:dyDescent="0.25">
      <c r="B15" s="2"/>
    </row>
    <row r="16" spans="1:13" x14ac:dyDescent="0.25">
      <c r="A16" t="s">
        <v>222</v>
      </c>
      <c r="B16" s="2">
        <v>304</v>
      </c>
      <c r="C16">
        <f t="shared" si="2"/>
        <v>100</v>
      </c>
      <c r="D16" s="12">
        <f t="shared" si="1"/>
        <v>67.84</v>
      </c>
      <c r="E16">
        <v>0.08</v>
      </c>
      <c r="F16">
        <v>10</v>
      </c>
      <c r="G16">
        <v>20</v>
      </c>
      <c r="K16">
        <v>2</v>
      </c>
      <c r="L16">
        <v>0.05</v>
      </c>
      <c r="M16">
        <v>0.03</v>
      </c>
    </row>
    <row r="17" spans="1:13" x14ac:dyDescent="0.25">
      <c r="A17" t="s">
        <v>222</v>
      </c>
      <c r="B17" s="2">
        <v>316</v>
      </c>
      <c r="C17">
        <f t="shared" si="2"/>
        <v>100</v>
      </c>
      <c r="D17" s="12">
        <f t="shared" si="1"/>
        <v>64.87</v>
      </c>
      <c r="E17">
        <v>0.08</v>
      </c>
      <c r="F17">
        <v>14</v>
      </c>
      <c r="G17">
        <v>18</v>
      </c>
      <c r="K17">
        <v>2</v>
      </c>
      <c r="L17">
        <v>0.05</v>
      </c>
      <c r="M17">
        <v>1</v>
      </c>
    </row>
    <row r="18" spans="1:13" x14ac:dyDescent="0.25">
      <c r="A18" t="s">
        <v>223</v>
      </c>
      <c r="B18" s="2">
        <v>430</v>
      </c>
      <c r="C18">
        <f t="shared" si="2"/>
        <v>100.00000000000001</v>
      </c>
      <c r="D18" s="12">
        <f t="shared" si="1"/>
        <v>80.06</v>
      </c>
      <c r="E18">
        <v>0.12</v>
      </c>
      <c r="F18">
        <v>0.75</v>
      </c>
      <c r="G18">
        <v>18</v>
      </c>
      <c r="K18">
        <v>1</v>
      </c>
      <c r="L18">
        <v>0.04</v>
      </c>
      <c r="M18">
        <v>0.03</v>
      </c>
    </row>
    <row r="19" spans="1:13" x14ac:dyDescent="0.25">
      <c r="A19" t="s">
        <v>223</v>
      </c>
      <c r="B19" s="2">
        <v>434</v>
      </c>
      <c r="C19">
        <f t="shared" si="2"/>
        <v>100.00000000000001</v>
      </c>
      <c r="D19" s="12">
        <f t="shared" si="1"/>
        <v>79.06</v>
      </c>
      <c r="E19">
        <v>0.12</v>
      </c>
      <c r="F19">
        <v>0.75</v>
      </c>
      <c r="G19">
        <v>19</v>
      </c>
      <c r="K19">
        <v>1</v>
      </c>
      <c r="L19">
        <v>0.04</v>
      </c>
      <c r="M19">
        <v>0.03</v>
      </c>
    </row>
    <row r="20" spans="1:13" x14ac:dyDescent="0.25">
      <c r="A20" t="s">
        <v>223</v>
      </c>
      <c r="B20" s="2">
        <v>446</v>
      </c>
      <c r="C20">
        <f t="shared" si="2"/>
        <v>100.00000000000001</v>
      </c>
      <c r="D20" s="12">
        <f t="shared" si="1"/>
        <v>71.260000000000005</v>
      </c>
      <c r="E20">
        <v>0.2</v>
      </c>
      <c r="F20">
        <v>0.5</v>
      </c>
      <c r="G20">
        <v>26</v>
      </c>
      <c r="K20">
        <v>1</v>
      </c>
      <c r="L20">
        <v>0.04</v>
      </c>
      <c r="M20">
        <v>1</v>
      </c>
    </row>
    <row r="21" spans="1:13" x14ac:dyDescent="0.25">
      <c r="A21" t="s">
        <v>224</v>
      </c>
      <c r="B21" s="2">
        <v>410</v>
      </c>
      <c r="C21">
        <f t="shared" si="2"/>
        <v>100.00000000000001</v>
      </c>
      <c r="D21" s="12">
        <f t="shared" si="1"/>
        <v>83.31</v>
      </c>
      <c r="E21">
        <v>0.4</v>
      </c>
      <c r="F21">
        <v>0.75</v>
      </c>
      <c r="G21">
        <v>13.5</v>
      </c>
      <c r="K21">
        <v>1</v>
      </c>
      <c r="L21">
        <v>0.04</v>
      </c>
      <c r="M21">
        <v>1</v>
      </c>
    </row>
    <row r="22" spans="1:13" x14ac:dyDescent="0.25">
      <c r="A22" t="s">
        <v>224</v>
      </c>
      <c r="B22" s="2">
        <v>420</v>
      </c>
      <c r="C22">
        <f t="shared" si="2"/>
        <v>100.00000000000001</v>
      </c>
      <c r="D22" s="12">
        <f t="shared" si="1"/>
        <v>83.78</v>
      </c>
      <c r="E22">
        <v>0.4</v>
      </c>
      <c r="F22">
        <v>0.75</v>
      </c>
      <c r="G22">
        <v>14</v>
      </c>
      <c r="K22">
        <v>1</v>
      </c>
      <c r="L22">
        <v>0.04</v>
      </c>
      <c r="M22">
        <v>0.03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19B7-10E8-400B-9C84-8FD9DBAB8FDC}">
  <dimension ref="C1:M26"/>
  <sheetViews>
    <sheetView workbookViewId="0">
      <selection activeCell="I32" sqref="I32"/>
    </sheetView>
  </sheetViews>
  <sheetFormatPr defaultRowHeight="15" x14ac:dyDescent="0.25"/>
  <cols>
    <col min="3" max="3" width="19" customWidth="1"/>
    <col min="8" max="8" width="21" customWidth="1"/>
    <col min="9" max="9" width="20" customWidth="1"/>
    <col min="12" max="12" width="17.140625" customWidth="1"/>
    <col min="13" max="13" width="13.5703125" customWidth="1"/>
  </cols>
  <sheetData>
    <row r="1" spans="3:13" x14ac:dyDescent="0.25">
      <c r="L1" t="s">
        <v>263</v>
      </c>
      <c r="M1" t="s">
        <v>264</v>
      </c>
    </row>
    <row r="2" spans="3:13" x14ac:dyDescent="0.25">
      <c r="C2" s="1" t="s">
        <v>234</v>
      </c>
      <c r="H2" s="1" t="s">
        <v>260</v>
      </c>
      <c r="I2" s="1" t="s">
        <v>261</v>
      </c>
      <c r="L2" s="31" t="s">
        <v>262</v>
      </c>
      <c r="M2" s="31" t="s">
        <v>262</v>
      </c>
    </row>
    <row r="3" spans="3:13" x14ac:dyDescent="0.25">
      <c r="C3" s="1" t="s">
        <v>235</v>
      </c>
      <c r="L3" t="s">
        <v>158</v>
      </c>
      <c r="M3" t="s">
        <v>252</v>
      </c>
    </row>
    <row r="4" spans="3:13" x14ac:dyDescent="0.25">
      <c r="C4" t="s">
        <v>236</v>
      </c>
      <c r="L4" t="s">
        <v>236</v>
      </c>
      <c r="M4" t="s">
        <v>248</v>
      </c>
    </row>
    <row r="5" spans="3:13" x14ac:dyDescent="0.25">
      <c r="C5" t="s">
        <v>238</v>
      </c>
      <c r="L5" t="s">
        <v>242</v>
      </c>
      <c r="M5" t="s">
        <v>249</v>
      </c>
    </row>
    <row r="6" spans="3:13" x14ac:dyDescent="0.25">
      <c r="C6" t="s">
        <v>237</v>
      </c>
      <c r="L6" t="s">
        <v>245</v>
      </c>
      <c r="M6" t="s">
        <v>265</v>
      </c>
    </row>
    <row r="7" spans="3:13" x14ac:dyDescent="0.25">
      <c r="C7" t="s">
        <v>239</v>
      </c>
      <c r="L7" t="s">
        <v>247</v>
      </c>
      <c r="M7" t="s">
        <v>266</v>
      </c>
    </row>
    <row r="8" spans="3:13" x14ac:dyDescent="0.25">
      <c r="C8" t="s">
        <v>240</v>
      </c>
    </row>
    <row r="12" spans="3:13" x14ac:dyDescent="0.25">
      <c r="C12" s="1" t="s">
        <v>241</v>
      </c>
      <c r="H12" s="1" t="s">
        <v>246</v>
      </c>
      <c r="I12" s="1" t="s">
        <v>250</v>
      </c>
      <c r="L12" s="1" t="s">
        <v>267</v>
      </c>
      <c r="M12" s="1" t="s">
        <v>272</v>
      </c>
    </row>
    <row r="13" spans="3:13" x14ac:dyDescent="0.25">
      <c r="C13" s="30" t="s">
        <v>242</v>
      </c>
      <c r="H13" s="30" t="s">
        <v>242</v>
      </c>
      <c r="I13" s="30" t="s">
        <v>158</v>
      </c>
      <c r="L13" t="s">
        <v>268</v>
      </c>
      <c r="M13" t="s">
        <v>273</v>
      </c>
    </row>
    <row r="14" spans="3:13" x14ac:dyDescent="0.25">
      <c r="C14" t="s">
        <v>243</v>
      </c>
      <c r="H14" t="s">
        <v>243</v>
      </c>
      <c r="I14" t="s">
        <v>251</v>
      </c>
      <c r="L14" t="s">
        <v>159</v>
      </c>
      <c r="M14" t="s">
        <v>274</v>
      </c>
    </row>
    <row r="15" spans="3:13" x14ac:dyDescent="0.25">
      <c r="C15" t="s">
        <v>228</v>
      </c>
      <c r="H15" t="s">
        <v>247</v>
      </c>
      <c r="I15" t="s">
        <v>252</v>
      </c>
      <c r="L15" t="s">
        <v>269</v>
      </c>
      <c r="M15" t="s">
        <v>248</v>
      </c>
    </row>
    <row r="16" spans="3:13" x14ac:dyDescent="0.25">
      <c r="C16" t="s">
        <v>244</v>
      </c>
      <c r="H16" t="s">
        <v>248</v>
      </c>
      <c r="I16" t="s">
        <v>253</v>
      </c>
      <c r="L16" t="s">
        <v>251</v>
      </c>
      <c r="M16" t="s">
        <v>257</v>
      </c>
    </row>
    <row r="17" spans="3:13" x14ac:dyDescent="0.25">
      <c r="C17" t="s">
        <v>245</v>
      </c>
      <c r="H17" t="s">
        <v>249</v>
      </c>
      <c r="I17" t="s">
        <v>254</v>
      </c>
      <c r="L17" t="s">
        <v>270</v>
      </c>
      <c r="M17" t="s">
        <v>275</v>
      </c>
    </row>
    <row r="18" spans="3:13" x14ac:dyDescent="0.25">
      <c r="H18" t="s">
        <v>236</v>
      </c>
      <c r="L18" t="s">
        <v>271</v>
      </c>
    </row>
    <row r="19" spans="3:13" x14ac:dyDescent="0.25">
      <c r="L19" t="s">
        <v>237</v>
      </c>
    </row>
    <row r="20" spans="3:13" x14ac:dyDescent="0.25">
      <c r="L20" t="s">
        <v>242</v>
      </c>
    </row>
    <row r="21" spans="3:13" x14ac:dyDescent="0.25">
      <c r="H21" s="1" t="s">
        <v>255</v>
      </c>
      <c r="I21" s="1" t="s">
        <v>256</v>
      </c>
      <c r="L21" t="s">
        <v>243</v>
      </c>
    </row>
    <row r="22" spans="3:13" x14ac:dyDescent="0.25">
      <c r="H22" t="s">
        <v>153</v>
      </c>
      <c r="I22" t="s">
        <v>251</v>
      </c>
    </row>
    <row r="23" spans="3:13" x14ac:dyDescent="0.25">
      <c r="H23" t="s">
        <v>257</v>
      </c>
      <c r="I23" t="s">
        <v>253</v>
      </c>
    </row>
    <row r="24" spans="3:13" x14ac:dyDescent="0.25">
      <c r="H24" t="s">
        <v>252</v>
      </c>
      <c r="I24" t="s">
        <v>247</v>
      </c>
    </row>
    <row r="25" spans="3:13" x14ac:dyDescent="0.25">
      <c r="H25" t="s">
        <v>249</v>
      </c>
      <c r="I25" t="s">
        <v>259</v>
      </c>
    </row>
    <row r="26" spans="3:13" x14ac:dyDescent="0.25">
      <c r="H26" t="s">
        <v>258</v>
      </c>
      <c r="I2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Data Raw</vt:lpstr>
      <vt:lpstr>Sheet2</vt:lpstr>
      <vt:lpstr>Efficiency Engineer</vt:lpstr>
      <vt:lpstr>Compositions</vt:lpstr>
      <vt:lpstr>Top 5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(US), Bailey</dc:creator>
  <cp:lastModifiedBy>Wu (US), Bailey</cp:lastModifiedBy>
  <dcterms:created xsi:type="dcterms:W3CDTF">2025-04-28T21:23:54Z</dcterms:created>
  <dcterms:modified xsi:type="dcterms:W3CDTF">2025-09-11T21:59:54Z</dcterms:modified>
</cp:coreProperties>
</file>